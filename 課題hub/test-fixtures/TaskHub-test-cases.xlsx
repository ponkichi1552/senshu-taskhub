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344d4948c61427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Campus抽出" sheetId="1" r:id="R7c5df4ff93ff46bb"/>
    <x:sheet xmlns:r="http://schemas.openxmlformats.org/officeDocument/2006/relationships" name="Classroom通知" sheetId="2" r:id="Rd5e9c65d235e47ca"/>
    <x:sheet xmlns:r="http://schemas.openxmlformats.org/officeDocument/2006/relationships" name="inCampus通知" sheetId="3" r:id="R7a911401d9d443b6"/>
    <x:sheet xmlns:r="http://schemas.openxmlformats.org/officeDocument/2006/relationships" name="テスト設定" sheetId="4" r:id="R79b2c2419cd043bf"/>
    <x:sheet xmlns:r="http://schemas.openxmlformats.org/officeDocument/2006/relationships" name="テストメール" sheetId="5" r:id="Rb1536b8b06fd42a7"/>
    <x:sheet xmlns:r="http://schemas.openxmlformats.org/officeDocument/2006/relationships" name="期限境界" sheetId="6" r:id="Rd9e61034b58f4c41"/>
    <x:sheet xmlns:r="http://schemas.openxmlformats.org/officeDocument/2006/relationships" name="仕様カバレッジ" sheetId="7" r:id="R48ac4aca911a46d0"/>
    <x:sheet xmlns:r="http://schemas.openxmlformats.org/officeDocument/2006/relationships" name="テストClassroom" sheetId="8" r:id="Rc4602c6408ab4a38"/>
    <x:sheet xmlns:r="http://schemas.openxmlformats.org/officeDocument/2006/relationships" name="テストinCampus" sheetId="9" r:id="Ra982449857a5450c"/>
    <x:sheet xmlns:r="http://schemas.openxmlformats.org/officeDocument/2006/relationships" name="テスト抽出" sheetId="10" r:id="Rbf1c467eab0c4da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164" formatCode="yyyy/mm/dd h:mm"/>
    <x:numFmt numFmtId="165" formatCode="yyyy/mm/dd h:mm:ss"/>
    <x:numFmt numFmtId="166" formatCode="yyyy/mm/dd [h]:mm:ss"/>
    <x:numFmt numFmtId="167" formatCode="yyyy/mm/dd"/>
    <x:numFmt numFmtId="200" formatCode="yyyy/mm/dd hh:mm:ss"/>
    <x:numFmt numFmtId="201" formatCode="yyyy/mm/dd hh:mm"/>
    <x:numFmt numFmtId="202" formatCode="0"/>
  </x:numFmts>
  <x:fonts count="11">
    <x:font>
      <x:sz val="10"/>
      <x:color rgb="FF000000"/>
      <x:name val="Arial"/>
    </x:font>
    <x:font>
      <x:color theme="1"/>
      <x:name val="Arial"/>
    </x:font>
    <x:font>
      <x:b/>
      <x:color theme="1"/>
      <x:name val="Arial"/>
    </x:font>
    <x:font>
      <x:color rgb="FF0000FF"/>
    </x:font>
    <x:font>
      <x:b/>
      <x:sz val="15"/>
      <x:color rgb="FFFFFFFF"/>
      <x:name val="Aptos"/>
    </x:font>
    <x:font>
      <x:b/>
      <x:sz val="11"/>
      <x:color rgb="FF17324D"/>
      <x:name val="Aptos"/>
    </x:font>
    <x:font>
      <x:b/>
      <x:sz val="10"/>
      <x:color rgb="FF17324D"/>
      <x:name val="Aptos"/>
    </x:font>
    <x:font>
      <x:b/>
      <x:sz val="10"/>
      <x:color rgb="FFFFFFFF"/>
      <x:name val="Aptos"/>
    </x:font>
    <x:font>
      <x:sz val="9"/>
      <x:color rgb="FF000000"/>
      <x:name val="Aptos"/>
    </x:font>
    <x:font>
      <x:b/>
      <x:sz val="12"/>
      <x:color rgb="FFFFFFFF"/>
      <x:name val="Aptos"/>
    </x:font>
    <x:font>
      <x:sz val="10"/>
      <x:color rgb="FF243746"/>
      <x:name val="Aptos"/>
    </x:font>
  </x:fonts>
  <x:fills count="7">
    <x:fill>
      <x:patternFill patternType="none"/>
    </x:fill>
    <x:fill>
      <x:patternFill patternType="lightGray"/>
    </x:fill>
    <x:fill>
      <x:patternFill patternType="solid">
        <x:fgColor rgb="FF17324D"/>
      </x:patternFill>
    </x:fill>
    <x:fill>
      <x:patternFill patternType="solid">
        <x:fgColor rgb="FFE9F0F6"/>
      </x:patternFill>
    </x:fill>
    <x:fill>
      <x:patternFill patternType="solid">
        <x:fgColor rgb="FFF4F8FB"/>
      </x:patternFill>
    </x:fill>
    <x:fill>
      <x:patternFill patternType="solid">
        <x:fgColor rgb="FF17324D"/>
      </x:patternFill>
    </x:fill>
    <x:fill>
      <x:patternFill patternType="solid">
        <x:fgColor rgb="FFD9E6F2"/>
      </x:patternFill>
    </x:fill>
  </x:fills>
  <x:borders count="2">
    <x:border/>
    <x:border>
      <x:left style="thin">
        <x:color rgb="FFD9E1E8"/>
      </x:left>
      <x:right style="thin">
        <x:color rgb="FFD9E1E8"/>
      </x:right>
      <x:top style="thin">
        <x:color rgb="FFD9E1E8"/>
      </x:top>
      <x:bottom style="thin">
        <x:color rgb="FFD9E1E8"/>
      </x:bottom>
    </x:border>
  </x:borders>
  <x:cellStyleXfs count="1">
    <x:xf numFmtId="0" fontId="0" fillId="0" borderId="0" applyFont="1" applyAlignment="1"/>
  </x:cellStyleXfs>
  <x:cellXfs count="53">
    <x:xf numFmtId="0" fontId="0" fillId="0" borderId="0" xfId="0" applyFont="1" applyAlignment="1">
      <x:alignment vertical="bottom" wrapText="0"/>
    </x:xf>
    <x:xf numFmtId="0" fontId="1" fillId="0" borderId="0" xfId="0" applyFont="1" applyAlignment="1"/>
    <x:xf numFmtId="0" fontId="2" fillId="0" borderId="0" xfId="0" applyFont="1" applyAlignment="1"/>
    <x:xf numFmtId="14" fontId="1" fillId="0" borderId="0" xfId="0" applyNumberFormat="1" applyFont="1" applyAlignment="1"/>
    <x:xf numFmtId="164" fontId="1" fillId="0" borderId="0" xfId="0" applyNumberFormat="1" applyFont="1" applyAlignment="1"/>
    <x:xf numFmtId="0" fontId="3" fillId="0" borderId="0" xfId="0" applyFont="1" applyAlignment="1"/>
    <x:xf numFmtId="165" fontId="1" fillId="0" borderId="0" xfId="0" applyNumberFormat="1" applyFont="1" applyAlignment="1"/>
    <x:xf numFmtId="166" fontId="1" fillId="0" borderId="0" xfId="0" applyNumberFormat="1" applyFont="1" applyAlignment="1"/>
    <x:xf numFmtId="167" fontId="1" fillId="0" borderId="0" xfId="0" applyNumberFormat="1" applyFont="1" applyAlignment="1"/>
    <x:xf numFmtId="0" fontId="0" fillId="2" borderId="0" xfId="0" applyNumberFormat="1" applyFont="1" applyFill="1" applyBorder="1" applyAlignment="1">
      <x:alignment vertical="bottom" wrapText="0"/>
    </x:xf>
    <x:xf numFmtId="0" fontId="4" fillId="2" borderId="0" xfId="0" applyNumberFormat="1" applyFont="1" applyFill="1" applyBorder="1" applyAlignment="1">
      <x:alignment vertical="bottom" wrapText="0"/>
    </x:xf>
    <x:xf numFmtId="0" fontId="0" fillId="3" borderId="0" xfId="0" applyNumberFormat="1" applyFont="1" applyFill="1" applyBorder="1" applyAlignment="1">
      <x:alignment vertical="bottom" wrapText="0"/>
    </x:xf>
    <x:xf numFmtId="0" fontId="5" fillId="3" borderId="0" xfId="0" applyNumberFormat="1" applyFont="1" applyFill="1" applyBorder="1" applyAlignment="1">
      <x:alignment vertical="bottom" wrapText="0"/>
    </x:xf>
    <x:xf numFmtId="0" fontId="6" fillId="0" borderId="0" xfId="0" applyNumberFormat="1" applyFont="1" applyFill="1" applyBorder="1" applyAlignment="1">
      <x:alignment vertical="bottom" wrapText="0"/>
    </x:xf>
    <x:xf numFmtId="0" fontId="4" fillId="2" borderId="0" xfId="0" applyNumberFormat="1" applyFont="1" applyFill="1" applyBorder="1" applyAlignment="1">
      <x:alignment vertical="center" wrapText="0"/>
    </x:xf>
    <x:xf numFmtId="0" fontId="5" fillId="3" borderId="0" xfId="0" applyNumberFormat="1" applyFont="1" applyFill="1" applyBorder="1" applyAlignment="1">
      <x:alignment vertical="center" wrapText="0"/>
    </x:xf>
    <x:xf numFmtId="0" fontId="0" fillId="0" borderId="0" xfId="0" applyNumberFormat="1" applyFont="1" applyFill="1" applyBorder="1" applyAlignment="1">
      <x:alignment vertical="center" wrapText="0"/>
    </x:xf>
    <x:xf numFmtId="0" fontId="6" fillId="0" borderId="0" xfId="0" applyNumberFormat="1" applyFont="1" applyFill="1" applyBorder="1" applyAlignment="1">
      <x:alignment vertical="center" wrapText="0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bottom" wrapText="1"/>
    </x:xf>
    <x:xf numFmtId="200" fontId="0" fillId="0" borderId="0" xfId="0" applyNumberFormat="1" applyFont="1" applyFill="1" applyBorder="1" applyAlignment="1">
      <x:alignment vertical="center" wrapText="0"/>
    </x:xf>
    <x:xf numFmtId="201" fontId="0" fillId="0" borderId="0" xfId="0" applyNumberFormat="1" applyFont="1" applyFill="1" applyBorder="1" applyAlignment="1">
      <x:alignment vertical="center" wrapText="0"/>
    </x:xf>
    <x:xf numFmtId="201" fontId="0" fillId="0" borderId="0" xfId="0" applyNumberFormat="1" applyFont="1" applyFill="1" applyBorder="1" applyAlignment="1">
      <x:alignment vertical="bottom" wrapText="0"/>
    </x:xf>
    <x:xf numFmtId="202" fontId="0" fillId="0" borderId="0" xfId="0" applyNumberFormat="1" applyFont="1" applyFill="1" applyBorder="1" applyAlignment="1">
      <x:alignment vertical="center" wrapText="0"/>
    </x:xf>
    <x:xf numFmtId="0" fontId="7" fillId="2" borderId="0" xfId="0" applyNumberFormat="1" applyFont="1" applyFill="1" applyBorder="1" applyAlignment="1">
      <x:alignment vertical="bottom" wrapText="0"/>
    </x:xf>
    <x:xf numFmtId="0" fontId="7" fillId="2" borderId="0" xfId="0" applyNumberFormat="1" applyFont="1" applyFill="1" applyBorder="1" applyAlignment="1">
      <x:alignment vertical="bottom" wrapText="1"/>
    </x:xf>
    <x:xf numFmtId="0" fontId="7" fillId="2" borderId="0" xfId="0" applyNumberFormat="1" applyFont="1" applyFill="1" applyBorder="1" applyAlignment="1">
      <x:alignment vertical="center" wrapText="1"/>
    </x:xf>
    <x:xf numFmtId="0" fontId="8" fillId="0" borderId="0" xfId="0" applyNumberFormat="1" applyFont="1" applyFill="1" applyBorder="1" applyAlignment="1">
      <x:alignment vertical="bottom" wrapText="0"/>
    </x:xf>
    <x:xf numFmtId="0" fontId="8" fillId="0" borderId="0" xfId="0" applyNumberFormat="1" applyFont="1" applyFill="1" applyBorder="1" applyAlignment="1">
      <x:alignment vertical="bottom" wrapText="1"/>
    </x:xf>
    <x:xf numFmtId="0" fontId="8" fillId="0" borderId="0" xfId="0" applyNumberFormat="1" applyFont="1" applyFill="1" applyBorder="1" applyAlignment="1">
      <x:alignment vertical="top" wrapText="1"/>
    </x:xf>
    <x:xf numFmtId="0" fontId="8" fillId="3" borderId="0" xfId="0" applyNumberFormat="1" applyFont="1" applyFill="1" applyBorder="1" applyAlignment="1">
      <x:alignment vertical="bottom" wrapText="0"/>
    </x:xf>
    <x:xf numFmtId="0" fontId="6" fillId="3" borderId="0" xfId="0" applyNumberFormat="1" applyFont="1" applyFill="1" applyBorder="1" applyAlignment="1">
      <x:alignment vertical="bottom" wrapText="0"/>
    </x:xf>
    <x:xf numFmtId="0" fontId="6" fillId="3" borderId="0" xfId="0" applyNumberFormat="1" applyFont="1" applyFill="1" applyBorder="1" applyAlignment="1">
      <x:alignment vertical="bottom" wrapText="1"/>
    </x:xf>
    <x:xf numFmtId="0" fontId="6" fillId="3" borderId="0" xfId="0" applyNumberFormat="1" applyFont="1" applyFill="1" applyBorder="1" applyAlignment="1">
      <x:alignment vertical="center" wrapText="1"/>
    </x:xf>
    <x:xf numFmtId="201" fontId="8" fillId="0" borderId="0" xfId="0" applyNumberFormat="1" applyFont="1" applyFill="1" applyBorder="1" applyAlignment="1">
      <x:alignment vertical="bottom" wrapText="0"/>
    </x:xf>
    <x:xf numFmtId="0" fontId="6" fillId="4" borderId="0" xfId="0" applyNumberFormat="1" applyFont="1" applyFill="1" applyBorder="1" applyAlignment="1">
      <x:alignment vertical="center" wrapText="1"/>
    </x:xf>
    <x:xf numFmtId="201" fontId="8" fillId="4" borderId="0" xfId="0" applyNumberFormat="1" applyFont="1" applyFill="1" applyBorder="1" applyAlignment="1">
      <x:alignment vertical="bottom" wrapText="0"/>
    </x:xf>
    <x:xf numFmtId="0" fontId="0" fillId="5" borderId="0" xfId="0" applyNumberFormat="1" applyFont="1" applyFill="1" applyBorder="1" applyAlignment="1">
      <x:alignment vertical="bottom" wrapText="0"/>
    </x:xf>
    <x:xf numFmtId="0" fontId="9" fillId="5" borderId="0" xfId="0" applyNumberFormat="1" applyFont="1" applyFill="1" applyBorder="1" applyAlignment="1">
      <x:alignment vertical="bottom" wrapText="0"/>
    </x:xf>
    <x:xf numFmtId="0" fontId="9" fillId="5" borderId="0" xfId="0" applyNumberFormat="1" applyFont="1" applyFill="1" applyBorder="1" applyAlignment="1">
      <x:alignment vertical="center" wrapText="0"/>
    </x:xf>
    <x:xf numFmtId="0" fontId="0" fillId="6" borderId="0" xfId="0" applyNumberFormat="1" applyFont="1" applyFill="1" applyBorder="1" applyAlignment="1">
      <x:alignment vertical="bottom" wrapText="0"/>
    </x:xf>
    <x:xf numFmtId="0" fontId="6" fillId="6" borderId="0" xfId="0" applyNumberFormat="1" applyFont="1" applyFill="1" applyBorder="1" applyAlignment="1">
      <x:alignment vertical="bottom" wrapText="0"/>
    </x:xf>
    <x:xf numFmtId="0" fontId="6" fillId="6" borderId="0" xfId="0" applyNumberFormat="1" applyFont="1" applyFill="1" applyBorder="1" applyAlignment="1">
      <x:alignment vertical="bottom" wrapText="1"/>
    </x:xf>
    <x:xf numFmtId="0" fontId="6" fillId="6" borderId="0" xfId="0" applyNumberFormat="1" applyFont="1" applyFill="1" applyBorder="1" applyAlignment="1">
      <x:alignment vertical="center" wrapText="1"/>
    </x:xf>
    <x:xf numFmtId="0" fontId="10" fillId="0" borderId="0" xfId="0" applyNumberFormat="1" applyFont="1" applyFill="1" applyBorder="1" applyAlignment="1">
      <x:alignment vertical="bottom" wrapText="0"/>
    </x:xf>
    <x:xf numFmtId="0" fontId="10" fillId="0" borderId="0" xfId="0" applyNumberFormat="1" applyFont="1" applyFill="1" applyBorder="1" applyAlignment="1">
      <x:alignment vertical="bottom" wrapText="1"/>
    </x:xf>
    <x:xf numFmtId="0" fontId="10" fillId="0" borderId="0" xfId="0" applyNumberFormat="1" applyFont="1" applyFill="1" applyBorder="1" applyAlignment="1">
      <x:alignment vertical="center" wrapText="1"/>
    </x:xf>
    <x:xf numFmtId="201" fontId="10" fillId="0" borderId="0" xfId="0" applyNumberFormat="1" applyFont="1" applyFill="1" applyBorder="1" applyAlignment="1">
      <x:alignment vertical="center" wrapText="1"/>
    </x:xf>
    <x:xf numFmtId="0" fontId="9" fillId="5" borderId="1" xfId="0" applyNumberFormat="1" applyFont="1" applyFill="1" applyBorder="1" applyAlignment="1">
      <x:alignment vertical="center" wrapText="0"/>
    </x:xf>
    <x:xf numFmtId="0" fontId="6" fillId="6" borderId="1" xfId="0" applyNumberFormat="1" applyFont="1" applyFill="1" applyBorder="1" applyAlignment="1">
      <x:alignment vertical="center" wrapText="1"/>
    </x:xf>
    <x:xf numFmtId="0" fontId="10" fillId="0" borderId="1" xfId="0" applyNumberFormat="1" applyFont="1" applyFill="1" applyBorder="1" applyAlignment="1">
      <x:alignment vertical="center" wrapText="1"/>
    </x:xf>
    <x:xf numFmtId="201" fontId="10" fillId="0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c7deaa9e4e041bb" /><Relationship Type="http://schemas.openxmlformats.org/officeDocument/2006/relationships/theme" Target="/xl/theme/theme1.xml" Id="R672171d174354652" /><Relationship Type="http://schemas.openxmlformats.org/officeDocument/2006/relationships/sharedStrings" Target="/xl/sharedStrings.xml" Id="R40c81e59e92d4a45" /><Relationship Type="http://schemas.openxmlformats.org/officeDocument/2006/relationships/worksheet" Target="/xl/worksheets/sheet1.xml" Id="R7c5df4ff93ff46bb" /><Relationship Type="http://schemas.openxmlformats.org/officeDocument/2006/relationships/worksheet" Target="/xl/worksheets/sheet2.xml" Id="Rd5e9c65d235e47ca" /><Relationship Type="http://schemas.openxmlformats.org/officeDocument/2006/relationships/worksheet" Target="/xl/worksheets/sheet3.xml" Id="R7a911401d9d443b6" /><Relationship Type="http://schemas.openxmlformats.org/officeDocument/2006/relationships/worksheet" Target="/xl/worksheets/sheet4.xml" Id="R79b2c2419cd043bf" /><Relationship Type="http://schemas.openxmlformats.org/officeDocument/2006/relationships/worksheet" Target="/xl/worksheets/sheet5.xml" Id="Rb1536b8b06fd42a7" /><Relationship Type="http://schemas.openxmlformats.org/officeDocument/2006/relationships/worksheet" Target="/xl/worksheets/sheet6.xml" Id="Rd9e61034b58f4c41" /><Relationship Type="http://schemas.openxmlformats.org/officeDocument/2006/relationships/worksheet" Target="/xl/worksheets/sheet7.xml" Id="R48ac4aca911a46d0" /><Relationship Type="http://schemas.openxmlformats.org/officeDocument/2006/relationships/worksheet" Target="/xl/worksheets/sheet8.xml" Id="Rc4602c6408ab4a38" /><Relationship Type="http://schemas.openxmlformats.org/officeDocument/2006/relationships/worksheet" Target="/xl/worksheets/sheet9.xml" Id="Ra982449857a5450c" /><Relationship Type="http://schemas.openxmlformats.org/officeDocument/2006/relationships/worksheet" Target="/xl/worksheets/sheet10.xml" Id="Rbf1c467eab0c4da0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hyperlink" Target="https://ic.ss.senshu-u.ac.jp/lms/course/report/submission?idnumber=2026118180101&amp;reportId=31843" TargetMode="External" Id="Rdfd294ca9a424e16" /><Relationship Type="http://schemas.openxmlformats.org/officeDocument/2006/relationships/hyperlink" Target="https://ic.ss.senshu-u.ac.jp/lms/course/report/submission?idnumber=2026320000001&amp;reportId=31824" TargetMode="External" Id="R340bf5841d55437c" /><Relationship Type="http://schemas.openxmlformats.org/officeDocument/2006/relationships/hyperlink" Target="https://ic.ss.senshu-u.ac.jp/lms/course/report/submission?idnumber=2026118180101&amp;reportId=30813" TargetMode="External" Id="R2ca7614b65e443b5" /><Relationship Type="http://schemas.openxmlformats.org/officeDocument/2006/relationships/hyperlink" Target="https://ic.ss.senshu-u.ac.jp/lms/course/report/submission?idnumber=2026320000001&amp;reportId=30148" TargetMode="External" Id="R4814719e26594bff" /><Relationship Type="http://schemas.openxmlformats.org/officeDocument/2006/relationships/hyperlink" Target="https://ic.ss.senshu-u.ac.jp/lms/course/report/submission?idnumber=2026320000001&amp;reportId=31824" TargetMode="External" Id="R7f90c33a96a64c0b" /><Relationship Type="http://schemas.openxmlformats.org/officeDocument/2006/relationships/hyperlink" Target="https://ic.ss.senshu-u.ac.jp/lms/course/report/submission?idnumber=2026320000001&amp;reportId=31824" TargetMode="External" Id="Re9222a67b6ec4e28" /><Relationship Type="http://schemas.openxmlformats.org/officeDocument/2006/relationships/hyperlink" Target="https://ic.ss.senshu-u.ac.jp/lms/course?idnumber=2026118180101" TargetMode="External" Id="Re39f1c6c38a8415c" /><Relationship Type="http://schemas.openxmlformats.org/officeDocument/2006/relationships/hyperlink" Target="https://ic.ss.senshu-u.ac.jp/lms/course/report/submission?idnumber=2026118180101&amp;reportId=30660" TargetMode="External" Id="Rad435e43476d4f5b" /><Relationship Type="http://schemas.openxmlformats.org/officeDocument/2006/relationships/hyperlink" Target="https://ic.ss.senshu-u.ac.jp/lms/course/report/submission?idnumber=2026118180101&amp;reportId=30455" TargetMode="External" Id="R630e43bd7a4147f4" /><Relationship Type="http://schemas.openxmlformats.org/officeDocument/2006/relationships/hyperlink" Target="https://ic.ss.senshu-u.ac.jp/lms/course/report/submission?idnumber=2026320000001&amp;reportId=31980" TargetMode="External" Id="R5acf80ecf6244372" /><Relationship Type="http://schemas.openxmlformats.org/officeDocument/2006/relationships/hyperlink" Target="https://ic.ss.senshu-u.ac.jp/lms/course/report/submission?idnumber=2026321680101&amp;reportId=31855" TargetMode="External" Id="Reaca0c54347d4909" /><Relationship Type="http://schemas.openxmlformats.org/officeDocument/2006/relationships/hyperlink" Target="https://ic.ss.senshu-u.ac.jp/lms/course/report/submission?idnumber=2026320000001&amp;reportId=31824" TargetMode="External" Id="R21b7b830416d46ae" /><Relationship Type="http://schemas.openxmlformats.org/officeDocument/2006/relationships/hyperlink" Target="https://ic.ss.senshu-u.ac.jp/lms/course?idnumber=2026321680101" TargetMode="External" Id="Rd4fca8a04d7147ef" /><Relationship Type="http://schemas.openxmlformats.org/officeDocument/2006/relationships/hyperlink" Target="https://ic.ss.senshu-u.ac.jp/lms/course/report/submission?idnumber=2026321680101&amp;reportId=31855" TargetMode="External" Id="R8b1999e060914ca1" /><Relationship Type="http://schemas.openxmlformats.org/officeDocument/2006/relationships/hyperlink" Target="https://ic.ss.senshu-u.ac.jp/lms/course/report/submission?idnumber=2026320180101&amp;reportId=32074" TargetMode="External" Id="R720116f7c4fc4ef3" /><Relationship Type="http://schemas.openxmlformats.org/officeDocument/2006/relationships/hyperlink" Target="https://ic.ss.senshu-u.ac.jp/lms/course/report/submission?idnumber=2026320180101&amp;reportId=32072" TargetMode="External" Id="Rb92cf5e94a5c44bd" /><Relationship Type="http://schemas.openxmlformats.org/officeDocument/2006/relationships/hyperlink" Target="https://ic.ss.senshu-u.ac.jp/lms/course/report/submission?idnumber=2026320180101&amp;reportId=32072" TargetMode="External" Id="Rc5cfb0ba55da4c1f" /><Relationship Type="http://schemas.openxmlformats.org/officeDocument/2006/relationships/hyperlink" Target="https://ic.ss.senshu-u.ac.jp/lms/course/report/submission?idnumber=2026320180101&amp;reportId=32074" TargetMode="External" Id="Rd5cd1e4a3ed84914" /><Relationship Type="http://schemas.openxmlformats.org/officeDocument/2006/relationships/hyperlink" Target="https://ic.ss.senshu-u.ac.jp/lms/course/report/submission?idnumber=2026320000001&amp;reportId=32317" TargetMode="External" Id="R60584c10496145d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hyperlink" Target="https://mail.google.com/mail?extsrc=sync&amp;client=docs&amp;plid=ACUX6DOk2uBDreg4RHUKn6PFWKQaoQVema2KFlY" TargetMode="External" Id="R64ebc7539bcb4406" /><Relationship Type="http://schemas.openxmlformats.org/officeDocument/2006/relationships/hyperlink" Target="https://mail.google.com/mail?extsrc=sync&amp;client=docs&amp;plid=ACUX6DMANBPD3TH7OcA65r4deN31sH19gMtZuKM" TargetMode="External" Id="Rc7e651a110b34403" /><Relationship Type="http://schemas.openxmlformats.org/officeDocument/2006/relationships/hyperlink" Target="https://mail.google.com/mail?extsrc=sync&amp;client=docs&amp;plid=ACUX6DOaF3F_d_2XHG_thAMuGuy3frzp7tamrJM" TargetMode="External" Id="R5fb4bbcdda344be6" /><Relationship Type="http://schemas.openxmlformats.org/officeDocument/2006/relationships/hyperlink" Target="https://mail.google.com/mail?extsrc=sync&amp;client=docs&amp;plid=ACUX6DMnPfo__sC2LzJh2I9Fzdyzkgb5TgfVsMw" TargetMode="External" Id="R8e0b7191ffd940ae" /><Relationship Type="http://schemas.openxmlformats.org/officeDocument/2006/relationships/hyperlink" Target="https://mail.google.com/mail?extsrc=sync&amp;client=docs&amp;plid=ACUX6DN5tCBtYTTEI3a1C9COoTBA-8gRLHZRDeg" TargetMode="External" Id="Ra933a8f86bae4af5" /><Relationship Type="http://schemas.openxmlformats.org/officeDocument/2006/relationships/hyperlink" Target="https://mail.google.com/mail?extsrc=sync&amp;client=docs&amp;plid=ACUX6DPiFpci525Oxtru6lApdIYmA-U-szdTUIc" TargetMode="External" Id="R5cf34c65936d4b59" /><Relationship Type="http://schemas.openxmlformats.org/officeDocument/2006/relationships/hyperlink" Target="https://mail.google.com/mail?extsrc=sync&amp;client=docs&amp;plid=ACUX6DNjHy3ckZkdue2cdxfgWiP4Y8ivIPFU2Zs" TargetMode="External" Id="R6f3d101b6dea42e9" /><Relationship Type="http://schemas.openxmlformats.org/officeDocument/2006/relationships/hyperlink" Target="https://mail.google.com/mail?extsrc=sync&amp;client=docs&amp;plid=ACUX6DNpKhbD2fRhdWIxQlMTicYJ9XU6RUq5YeA" TargetMode="External" Id="R89deec17bf6540d5" /><Relationship Type="http://schemas.openxmlformats.org/officeDocument/2006/relationships/hyperlink" Target="https://mail.google.com/mail?extsrc=sync&amp;client=docs&amp;plid=ACUX6DNo4OrlHS4X1dgNyrdSyYFXarveC9WDTgg" TargetMode="External" Id="R73177bbc3d97460e" /><Relationship Type="http://schemas.openxmlformats.org/officeDocument/2006/relationships/hyperlink" Target="https://mail.google.com/mail?extsrc=sync&amp;client=docs&amp;plid=ACUX6DM2GBS0jjc5TmihY8nLEoXy8N4YkIuYDEs" TargetMode="External" Id="Rd2576a2e8203415c" /><Relationship Type="http://schemas.openxmlformats.org/officeDocument/2006/relationships/hyperlink" Target="https://mail.google.com/mail?extsrc=sync&amp;client=docs&amp;plid=ACUX6DMghAPc-KzNO0a2B6aPasMt7WlOJGq15Bo" TargetMode="External" Id="Rc2960e83ed274492" /><Relationship Type="http://schemas.openxmlformats.org/officeDocument/2006/relationships/hyperlink" Target="https://mail.google.com/mail?extsrc=sync&amp;client=docs&amp;plid=ACUX6DMbJA10sGD3EtrvmnSIPBYWSIKV0ZnEkA4" TargetMode="External" Id="R9b9642bffd57410f" /><Relationship Type="http://schemas.openxmlformats.org/officeDocument/2006/relationships/hyperlink" Target="https://mail.google.com/mail?extsrc=sync&amp;client=docs&amp;plid=ACUX6DMnKgTovyBfBcPRhgkFDCM1stE6I8XVZqk" TargetMode="External" Id="Rc8003135b277468f" /><Relationship Type="http://schemas.openxmlformats.org/officeDocument/2006/relationships/hyperlink" Target="https://mail.google.com/mail?extsrc=sync&amp;client=docs&amp;plid=ACUX6DNPym2HUbCuckNTRMCe0_65tt9coMMqJz4" TargetMode="External" Id="Rdeb4e18580d94c0d" /><Relationship Type="http://schemas.openxmlformats.org/officeDocument/2006/relationships/hyperlink" Target="https://mail.google.com/mail?extsrc=sync&amp;client=docs&amp;plid=ACUX6DNbANC0CUtE042Gk2NhyprZ9-q6AAWhCgU" TargetMode="External" Id="R23d06cea7ed04951" /><Relationship Type="http://schemas.openxmlformats.org/officeDocument/2006/relationships/hyperlink" Target="https://mail.google.com/mail?extsrc=sync&amp;client=docs&amp;plid=ACUX6DNf7iUNnmtjrZePSVvjtxSc2RuapG_6M8Q" TargetMode="External" Id="R8c6b9a4ae0e141c8" /><Relationship Type="http://schemas.openxmlformats.org/officeDocument/2006/relationships/hyperlink" Target="https://mail.google.com/mail?extsrc=sync&amp;client=docs&amp;plid=ACUX6DP7yPniauLFRqL6-ceVA7dKQEGdk154H30" TargetMode="External" Id="R731ac07d1adc4d36" /><Relationship Type="http://schemas.openxmlformats.org/officeDocument/2006/relationships/hyperlink" Target="https://mail.google.com/mail?extsrc=sync&amp;client=docs&amp;plid=ACUX6DMS3x3Lq72b-fBMWXzm_h4CByJfYOfHo1w" TargetMode="External" Id="Ra6bd0b0684204d4f" /><Relationship Type="http://schemas.openxmlformats.org/officeDocument/2006/relationships/hyperlink" Target="https://mail.google.com/mail?extsrc=sync&amp;client=docs&amp;plid=ACUX6DMWtJ42V_rGu-sS_qRw3lKwi_apcYuhbzc" TargetMode="External" Id="R37a8f7ca8fe7479d" /><Relationship Type="http://schemas.openxmlformats.org/officeDocument/2006/relationships/hyperlink" Target="https://mail.google.com/mail?extsrc=sync&amp;client=docs&amp;plid=ACUX6DMjgFztvkgLujSCKQznOsVNdpavzlTW2ho" TargetMode="External" Id="R1613027addec49f9" /><Relationship Type="http://schemas.openxmlformats.org/officeDocument/2006/relationships/hyperlink" Target="https://mail.google.com/mail?extsrc=sync&amp;client=docs&amp;plid=ACUX6DOtB_VhLK7ImecXlKPeMSGjDKMuIXkpcqU" TargetMode="External" Id="Reebbf28b405546dc" /><Relationship Type="http://schemas.openxmlformats.org/officeDocument/2006/relationships/hyperlink" Target="https://mail.google.com/mail?extsrc=sync&amp;client=docs&amp;plid=ACUX6DMWXZquv6TA6ddjhOL1AhnLhtojvrVASUI" TargetMode="External" Id="R1708f4ea8f534b6c" /><Relationship Type="http://schemas.openxmlformats.org/officeDocument/2006/relationships/hyperlink" Target="https://mail.google.com/mail?extsrc=sync&amp;client=docs&amp;plid=ACUX6DPuGSLNyVn2UKVwQYEEAinsl3dh-fgvTNI" TargetMode="External" Id="Rd31f7ced15424859" /><Relationship Type="http://schemas.openxmlformats.org/officeDocument/2006/relationships/hyperlink" Target="https://mail.google.com/mail?extsrc=sync&amp;client=docs&amp;plid=ACUX6DPBZoAoIUnbJZUPr4dN2Mm5gVc_JKuAioY" TargetMode="External" Id="R038abd667d4a4dde" /><Relationship Type="http://schemas.openxmlformats.org/officeDocument/2006/relationships/hyperlink" Target="https://mail.google.com/mail?extsrc=sync&amp;client=docs&amp;plid=ACUX6DOdEuUemeBJ2JVvnSh9hsqMDu-rrpgllVc" TargetMode="External" Id="Rcb0ddb1f06f14e01" /><Relationship Type="http://schemas.openxmlformats.org/officeDocument/2006/relationships/hyperlink" Target="https://mail.google.com/mail?extsrc=sync&amp;client=docs&amp;plid=ACUX6DPtCKwjoP-7YaP34Dhoyf6l61jQHvEJJtg" TargetMode="External" Id="Re4373de7a42143a9" /><Relationship Type="http://schemas.openxmlformats.org/officeDocument/2006/relationships/hyperlink" Target="https://mail.google.com/mail?extsrc=sync&amp;client=docs&amp;plid=ACUX6DPQNJQ9PBRiOCgk2oIX_vtknr9vBQG4ZUU" TargetMode="External" Id="R6fc29c37ef7d496f" /><Relationship Type="http://schemas.openxmlformats.org/officeDocument/2006/relationships/hyperlink" Target="https://mail.google.com/mail?extsrc=sync&amp;client=docs&amp;plid=ACUX6DPSQBlpKoZPn-jdDWcUxeE8MV07yEffOnk" TargetMode="External" Id="R5ef1a68e3a554c14" /><Relationship Type="http://schemas.openxmlformats.org/officeDocument/2006/relationships/hyperlink" Target="https://mail.google.com/mail?extsrc=sync&amp;client=docs&amp;plid=ACUX6DNRnX34ywjP3n7GT2Jm2gsw6sdB4w_Dao8" TargetMode="External" Id="R714e971aa283469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hyperlink" Target="https://mail.google.com/mail?extsrc=sync&amp;client=docs&amp;plid=ACUX6DOBqXwyVBY9CIB7nLlf7JSfoyt53-J3oeY" TargetMode="External" Id="R24eecdf6819f4d1c" /><Relationship Type="http://schemas.openxmlformats.org/officeDocument/2006/relationships/hyperlink" Target="https://mail.google.com/mail?extsrc=sync&amp;client=docs&amp;plid=ACUX6DP9hMFTHpgefkwkNqYAWbOKPcWO33BtvTE" TargetMode="External" Id="R6211a4a938f24072" /><Relationship Type="http://schemas.openxmlformats.org/officeDocument/2006/relationships/hyperlink" Target="https://mail.google.com/mail?extsrc=sync&amp;client=docs&amp;plid=ACUX6DNqVr1_fwzwJI7bxjKsvx-PBjCtA9Sp1HU" TargetMode="External" Id="Ra8f295fb02204543" /><Relationship Type="http://schemas.openxmlformats.org/officeDocument/2006/relationships/hyperlink" Target="https://mail.google.com/mail?extsrc=sync&amp;client=docs&amp;plid=ACUX6DPAIBLmbaq6I7H5zMMAKgRvf4WMxooeWZ8" TargetMode="External" Id="R772017c787e84004" /><Relationship Type="http://schemas.openxmlformats.org/officeDocument/2006/relationships/hyperlink" Target="https://mail.google.com/mail?extsrc=sync&amp;client=docs&amp;plid=ACUX6DOwQZ4khNuLMtaYnVPC2Vc6OQ-5LkA_jMA" TargetMode="External" Id="R058d01b3adae46e4" /><Relationship Type="http://schemas.openxmlformats.org/officeDocument/2006/relationships/hyperlink" Target="https://mail.google.com/mail?extsrc=sync&amp;client=docs&amp;plid=ACUX6DNlHdh2DBaRDg9x1sjQQjZRDzEScvo6EGo" TargetMode="External" Id="R23d196ccdb14486a" /><Relationship Type="http://schemas.openxmlformats.org/officeDocument/2006/relationships/hyperlink" Target="https://mail.google.com/mail?extsrc=sync&amp;client=docs&amp;plid=ACUX6DNpuibSTdYhjJwqNJcDhANJy9ugPHkFCYY" TargetMode="External" Id="R11b76d2cd4964209" /><Relationship Type="http://schemas.openxmlformats.org/officeDocument/2006/relationships/hyperlink" Target="https://mail.google.com/mail?extsrc=sync&amp;client=docs&amp;plid=ACUX6DOzT4KGys_109xXiJTcv1EiDPGXyM6cB4Y" TargetMode="External" Id="R9c9ea822546f4158" /><Relationship Type="http://schemas.openxmlformats.org/officeDocument/2006/relationships/hyperlink" Target="https://mail.google.com/mail?extsrc=sync&amp;client=docs&amp;plid=ACUX6DMep5I9kegcWOGaOr-V3y5lE0RvwUVN-HA" TargetMode="External" Id="Rf3ad9630c8074e92" /><Relationship Type="http://schemas.openxmlformats.org/officeDocument/2006/relationships/hyperlink" Target="https://mail.google.com/mail?extsrc=sync&amp;client=docs&amp;plid=ACUX6DMKnRP4H5cEcxQHzbzL-Afk_1Ds9H1fM2Q" TargetMode="External" Id="R889acc40729c4417" /><Relationship Type="http://schemas.openxmlformats.org/officeDocument/2006/relationships/hyperlink" Target="https://mail.google.com/mail?extsrc=sync&amp;client=docs&amp;plid=ACUX6DNgj8WNlevbFF7dT-cO9mIuBYEzPHZAnY4" TargetMode="External" Id="R891ef1b1639c4003" /><Relationship Type="http://schemas.openxmlformats.org/officeDocument/2006/relationships/hyperlink" Target="https://mail.google.com/mail?extsrc=sync&amp;client=docs&amp;plid=ACUX6DOTinZSCejaYfmZCiS0SO5eRONwbKrxv7M" TargetMode="External" Id="R814fe0e68a184afa" /><Relationship Type="http://schemas.openxmlformats.org/officeDocument/2006/relationships/hyperlink" Target="https://mail.google.com/mail?extsrc=sync&amp;client=docs&amp;plid=ACUX6DNuXAn3ohDNnMeFo0nrNTshvYGDxQs6NEk" TargetMode="External" Id="Rc09e2a2641cd4c0e" /><Relationship Type="http://schemas.openxmlformats.org/officeDocument/2006/relationships/hyperlink" Target="https://mail.google.com/mail?extsrc=sync&amp;client=docs&amp;plid=ACUX6DM9WUhUptQdlORxm2f3oUvRoWxPC_8edms" TargetMode="External" Id="R6ab499023f3d4322" /><Relationship Type="http://schemas.openxmlformats.org/officeDocument/2006/relationships/hyperlink" Target="https://mail.google.com/mail?extsrc=sync&amp;client=docs&amp;plid=ACUX6DNJGLxHG79KZp-C0NTzWOOnoN77CbnaZTk" TargetMode="External" Id="Rc57ddeb2eab74170" /><Relationship Type="http://schemas.openxmlformats.org/officeDocument/2006/relationships/hyperlink" Target="https://mail.google.com/mail?extsrc=sync&amp;client=docs&amp;plid=ACUX6DPWjc0nBEjYsN9BJW9h2sl8YuNMytRqJoA" TargetMode="External" Id="R37a15ae2127a4376" /><Relationship Type="http://schemas.openxmlformats.org/officeDocument/2006/relationships/hyperlink" Target="https://mail.google.com/mail?extsrc=sync&amp;client=docs&amp;plid=ACUX6DMLAQU02qGcTT1xWjJ1TfC3wgo3asks03Q" TargetMode="External" Id="Re3fd9bc850844420" /><Relationship Type="http://schemas.openxmlformats.org/officeDocument/2006/relationships/hyperlink" Target="https://mail.google.com/mail?extsrc=sync&amp;client=docs&amp;plid=ACUX6DOyv3uV2hHKPzgKAYP6wtT0fO-eGmoNsPs" TargetMode="External" Id="Rbdd309249f564728" /><Relationship Type="http://schemas.openxmlformats.org/officeDocument/2006/relationships/hyperlink" Target="https://mail.google.com/mail?extsrc=sync&amp;client=docs&amp;plid=ACUX6DPg4q-2Y9uD48tizO4Br1MeH5FZMzMKvdk" TargetMode="External" Id="Racf508f317e74992" /><Relationship Type="http://schemas.openxmlformats.org/officeDocument/2006/relationships/hyperlink" Target="https://mail.google.com/mail?extsrc=sync&amp;client=docs&amp;plid=ACUX6DOjGdMx91SwfGvUmnJR2qYvuCNvUlrzrAU" TargetMode="External" Id="R5e681ea7a09644bb" /><Relationship Type="http://schemas.openxmlformats.org/officeDocument/2006/relationships/hyperlink" Target="https://mail.google.com/mail?extsrc=sync&amp;client=docs&amp;plid=ACUX6DOmYQZO90gFFYU4L5stZZ05CwNZLQUOSk4" TargetMode="External" Id="R3f84d9cdb24647fa" /><Relationship Type="http://schemas.openxmlformats.org/officeDocument/2006/relationships/hyperlink" Target="https://mail.google.com/mail?extsrc=sync&amp;client=docs&amp;plid=ACUX6DP2GUN3H-iftKdO3iGp8d8oKFlx8Ya1vnc" TargetMode="External" Id="R118076cf2b2e41d4" /><Relationship Type="http://schemas.openxmlformats.org/officeDocument/2006/relationships/hyperlink" Target="https://mail.google.com/mail?extsrc=sync&amp;client=docs&amp;plid=ACUX6DPunkcFm4V08tOJOBnziMzcHivwQUqINjY" TargetMode="External" Id="R58a9941e070846cf" /><Relationship Type="http://schemas.openxmlformats.org/officeDocument/2006/relationships/hyperlink" Target="https://mail.google.com/mail?extsrc=sync&amp;client=docs&amp;plid=ACUX6DMm0b0KW9rW24OxN2UoOtbk7OuXcIqfX9M" TargetMode="External" Id="Rcdea5b6d6ac3429c" /><Relationship Type="http://schemas.openxmlformats.org/officeDocument/2006/relationships/hyperlink" Target="https://mail.google.com/mail?extsrc=sync&amp;client=docs&amp;plid=ACUX6DP8rKCFptOOEvmiZzhRZsIXhoDi3LKeT8c" TargetMode="External" Id="Rf9c5facb7cd848a2" /><Relationship Type="http://schemas.openxmlformats.org/officeDocument/2006/relationships/hyperlink" Target="https://mail.google.com/mail?extsrc=sync&amp;client=docs&amp;plid=ACUX6DMjzYQBZAAAu4nYr6_iJ6RR3k5HmqT5saQ" TargetMode="External" Id="Rc4e4e0de2b744ceb" /><Relationship Type="http://schemas.openxmlformats.org/officeDocument/2006/relationships/hyperlink" Target="https://mail.google.com/mail?extsrc=sync&amp;client=docs&amp;plid=ACUX6DNpiv0tvUsIwIaTxeFCdGfr5MwF1m2O6QM" TargetMode="External" Id="R7504d700232d4396" /><Relationship Type="http://schemas.openxmlformats.org/officeDocument/2006/relationships/hyperlink" Target="https://mail.google.com/mail?extsrc=sync&amp;client=docs&amp;plid=ACUX6DOu58YQyNJt09KJ1ipQzRzxujh6t9tRCZQ" TargetMode="External" Id="R043758ad73324864" /><Relationship Type="http://schemas.openxmlformats.org/officeDocument/2006/relationships/hyperlink" Target="https://mail.google.com/mail?extsrc=sync&amp;client=docs&amp;plid=ACUX6DNv7s8PMn8M5J9Bs6Lj2Uew1QLtEdht0ys" TargetMode="External" Id="Rb7a172b2efac457e" /><Relationship Type="http://schemas.openxmlformats.org/officeDocument/2006/relationships/hyperlink" Target="https://mail.google.com/mail?extsrc=sync&amp;client=docs&amp;plid=ACUX6DOq6zNTd0cFsf2dfykuZ5U2DsU5ruIObYI" TargetMode="External" Id="R5525b7ff0089417e" /><Relationship Type="http://schemas.openxmlformats.org/officeDocument/2006/relationships/hyperlink" Target="https://mail.google.com/mail?extsrc=sync&amp;client=docs&amp;plid=ACUX6DOgduSiOb-WNfX11lfd1kTiWpQQ1_ZJWKk" TargetMode="External" Id="Rfbd3a001754244f4" /><Relationship Type="http://schemas.openxmlformats.org/officeDocument/2006/relationships/hyperlink" Target="https://mail.google.com/mail?extsrc=sync&amp;client=docs&amp;plid=ACUX6DMWeyi_cYe5LezjgA4sHj1RhzOapwia7xk" TargetMode="External" Id="R6020afc52c4d4a0e" /><Relationship Type="http://schemas.openxmlformats.org/officeDocument/2006/relationships/hyperlink" Target="https://mail.google.com/mail?extsrc=sync&amp;client=docs&amp;plid=ACUX6DObrY7UZJLAhlJHuGN6ZUTomA_bpKC-hvE" TargetMode="External" Id="R58235b3b96c3457f" /><Relationship Type="http://schemas.openxmlformats.org/officeDocument/2006/relationships/hyperlink" Target="https://mail.google.com/mail?extsrc=sync&amp;client=docs&amp;plid=ACUX6DMlhqqQeydkoV3MGiz8d-wcMYjTPpPozZ8" TargetMode="External" Id="Re8076a20c18d4d8b" /><Relationship Type="http://schemas.openxmlformats.org/officeDocument/2006/relationships/hyperlink" Target="https://mail.google.com/mail?extsrc=sync&amp;client=docs&amp;plid=ACUX6DPIlPUvhR23gpE6VysmVVuN8GZ9Qi1XLlQ" TargetMode="External" Id="R61cb434e127d4277" /><Relationship Type="http://schemas.openxmlformats.org/officeDocument/2006/relationships/hyperlink" Target="https://mail.google.com/mail?extsrc=sync&amp;client=docs&amp;plid=ACUX6DNhqJ4-rUE24zjiL2bOOj9jMVS7dfKILe4" TargetMode="External" Id="Re72385d9fd6b4951" /><Relationship Type="http://schemas.openxmlformats.org/officeDocument/2006/relationships/hyperlink" Target="https://mail.google.com/mail?extsrc=sync&amp;client=docs&amp;plid=ACUX6DM98EXum9gbRKL_V3oAA-MDLEartvR8wTE" TargetMode="External" Id="R413b16700df841be" /><Relationship Type="http://schemas.openxmlformats.org/officeDocument/2006/relationships/hyperlink" Target="https://mail.google.com/mail?extsrc=sync&amp;client=docs&amp;plid=ACUX6DOWFCr2WfUsuywuzbB1bq3kFuK2HlQWehQ" TargetMode="External" Id="R6bcef196f2374466" /><Relationship Type="http://schemas.openxmlformats.org/officeDocument/2006/relationships/hyperlink" Target="https://mail.google.com/mail?extsrc=sync&amp;client=docs&amp;plid=ACUX6DP4dOz9rgRDC1-cLpO3b4ZBTG2MQe_AVqI" TargetMode="External" Id="R9eadd11a0f224bb8" /><Relationship Type="http://schemas.openxmlformats.org/officeDocument/2006/relationships/hyperlink" Target="https://mail.google.com/mail?extsrc=sync&amp;client=docs&amp;plid=ACUX6DOWHxNZIuqTNTNQ-K3QJUz4z6wRQ7DoM9k" TargetMode="External" Id="R46e9ee8098a74e28" /><Relationship Type="http://schemas.openxmlformats.org/officeDocument/2006/relationships/hyperlink" Target="https://mail.google.com/mail?extsrc=sync&amp;client=docs&amp;plid=ACUX6DOJyzgwhD37UoudfRtW-l2NTfyN754EfR0" TargetMode="External" Id="Rf4a58e79dca04791" /><Relationship Type="http://schemas.openxmlformats.org/officeDocument/2006/relationships/hyperlink" Target="https://mail.google.com/mail?extsrc=sync&amp;client=docs&amp;plid=ACUX6DMPHAjhx8hHlpmJU78Ltpy255ArZjskXxw" TargetMode="External" Id="Ref63c0fee4b144b9" /><Relationship Type="http://schemas.openxmlformats.org/officeDocument/2006/relationships/hyperlink" Target="https://mail.google.com/mail?extsrc=sync&amp;client=docs&amp;plid=ACUX6DMeVeyUeMXjGBVo6hHkDhYs79yxGQjh9HQ" TargetMode="External" Id="R6496985435974aa5" /><Relationship Type="http://schemas.openxmlformats.org/officeDocument/2006/relationships/hyperlink" Target="https://mail.google.com/mail?extsrc=sync&amp;client=docs&amp;plid=ACUX6DOvUXu2KmpelhVH0lCUzsbIBAgL5irZwoY" TargetMode="External" Id="R331cd5bb42f6411c" /><Relationship Type="http://schemas.openxmlformats.org/officeDocument/2006/relationships/hyperlink" Target="https://mail.google.com/mail?extsrc=sync&amp;client=docs&amp;plid=ACUX6DOzHu4CpRqcEH7TV2VyO6ZzFkRakOoq-8A" TargetMode="External" Id="Rd61e48028f8b4f2e" /><Relationship Type="http://schemas.openxmlformats.org/officeDocument/2006/relationships/hyperlink" Target="https://mail.google.com/mail?extsrc=sync&amp;client=docs&amp;plid=ACUX6DOvUXu2KmpelhVH0lCUzsbIBAgL5irZwoY" TargetMode="External" Id="R74d3b845813f4ecc" /><Relationship Type="http://schemas.openxmlformats.org/officeDocument/2006/relationships/hyperlink" Target="https://mail.google.com/mail?extsrc=sync&amp;client=docs&amp;plid=ACUX6DPicEdqiOMaFp_wBcx4Ee0jdpb0CG8iB5s" TargetMode="External" Id="Rb53f9e2637674097" /><Relationship Type="http://schemas.openxmlformats.org/officeDocument/2006/relationships/hyperlink" Target="https://mail.google.com/mail?extsrc=sync&amp;client=docs&amp;plid=ACUX6DOfYyTIDebLG_kvv0Ph-KEwNy02ZVZJPl8" TargetMode="External" Id="R96e27e588b3b43bf" /><Relationship Type="http://schemas.openxmlformats.org/officeDocument/2006/relationships/hyperlink" Target="https://mail.google.com/mail?extsrc=sync&amp;client=docs&amp;plid=ACUX6DO5MChHRpsSKgqI-TP4d5_8d_X4CFJNMGk" TargetMode="External" Id="R111685748d1b4995" /><Relationship Type="http://schemas.openxmlformats.org/officeDocument/2006/relationships/hyperlink" Target="https://mail.google.com/mail?extsrc=sync&amp;client=docs&amp;plid=ACUX6DORf7dQ4MTsFJ4h_UbvQglCJdxIm6TUqrg" TargetMode="External" Id="R27702d15b50a42ac" /><Relationship Type="http://schemas.openxmlformats.org/officeDocument/2006/relationships/hyperlink" Target="https://mail.google.com/mail?extsrc=sync&amp;client=docs&amp;plid=ACUX6DPVvdn46p4yr48MYHxok1a78c4QWbYneDU" TargetMode="External" Id="R99e8f7d84b6a4be8" /><Relationship Type="http://schemas.openxmlformats.org/officeDocument/2006/relationships/hyperlink" Target="https://mail.google.com/mail?extsrc=sync&amp;client=docs&amp;plid=ACUX6DOfwEYzUEwnJEIEk1H1_A5cuDFm2DeEPow" TargetMode="External" Id="R0c9dbbea9e324352" /><Relationship Type="http://schemas.openxmlformats.org/officeDocument/2006/relationships/hyperlink" Target="https://mail.google.com/mail?extsrc=sync&amp;client=docs&amp;plid=ACUX6DPRpjcah3X8VLnpBK5PTAurgsj19xjpq74" TargetMode="External" Id="R104f3a6d018f49a4" /><Relationship Type="http://schemas.openxmlformats.org/officeDocument/2006/relationships/hyperlink" Target="https://mail.google.com/mail?extsrc=sync&amp;client=docs&amp;plid=ACUX6DOFRFzMW-_YTloXMBShNO0LpWk7gu7aEX8" TargetMode="External" Id="Rc0e37e4ae5294c97" /><Relationship Type="http://schemas.openxmlformats.org/officeDocument/2006/relationships/hyperlink" Target="https://mail.google.com/mail?extsrc=sync&amp;client=docs&amp;plid=ACUX6DN8c2VnvOt1A7ECCAL4XwJMsZrgknaMxTA" TargetMode="External" Id="R109fc41e88e746a4" /><Relationship Type="http://schemas.openxmlformats.org/officeDocument/2006/relationships/hyperlink" Target="https://mail.google.com/mail?extsrc=sync&amp;client=docs&amp;plid=ACUX6DO5wp-uSJjqQQIvJLtJGqONpddsTmFqYJE" TargetMode="External" Id="R933d6328876d45f1" /><Relationship Type="http://schemas.openxmlformats.org/officeDocument/2006/relationships/hyperlink" Target="https://mail.google.com/mail?extsrc=sync&amp;client=docs&amp;plid=ACUX6DOXSlnensP0WibqfUOZ7le8ieu914xr2pc" TargetMode="External" Id="R0f5e2cbc8af64738" /><Relationship Type="http://schemas.openxmlformats.org/officeDocument/2006/relationships/hyperlink" Target="https://mail.google.com/mail?extsrc=sync&amp;client=docs&amp;plid=ACUX6DNMq8dARATm9nc1l2o3P9NQyJbUkYMi-vk" TargetMode="External" Id="Rfd2cbfbd7b8d4d9b" /><Relationship Type="http://schemas.openxmlformats.org/officeDocument/2006/relationships/hyperlink" Target="https://mail.google.com/mail?extsrc=sync&amp;client=docs&amp;plid=ACUX6DMuTej_k_gk5HdfHdLScwr0h7aeHoH0lSM" TargetMode="External" Id="R4c750bf7c38f43cb" /><Relationship Type="http://schemas.openxmlformats.org/officeDocument/2006/relationships/hyperlink" Target="https://mail.google.com/mail?extsrc=sync&amp;client=docs&amp;plid=ACUX6DPBMUp3RENs0BcdPXfi5_JU6P30khCTUI8" TargetMode="External" Id="R2dcefecb25cb4aa0" /><Relationship Type="http://schemas.openxmlformats.org/officeDocument/2006/relationships/hyperlink" Target="https://mail.google.com/mail?extsrc=sync&amp;client=docs&amp;plid=ACUX6DNmsgIW898tyuSe1bLmTneNa9FUvAnA2X0" TargetMode="External" Id="Rb43d9539d8ce4366" /><Relationship Type="http://schemas.openxmlformats.org/officeDocument/2006/relationships/hyperlink" Target="https://mail.google.com/mail?extsrc=sync&amp;client=docs&amp;plid=ACUX6DPw6Xh2O9pbpBLpFbIcM3in4d6LrWVJHUE" TargetMode="External" Id="R73972da0957748c5" /><Relationship Type="http://schemas.openxmlformats.org/officeDocument/2006/relationships/hyperlink" Target="https://mail.google.com/mail?extsrc=sync&amp;client=docs&amp;plid=ACUX6DPb_LJHivEOcJOadwDwrcyKYL9mho3WWTU" TargetMode="External" Id="Re8090721938a4226" /><Relationship Type="http://schemas.openxmlformats.org/officeDocument/2006/relationships/hyperlink" Target="https://mail.google.com/mail?extsrc=sync&amp;client=docs&amp;plid=ACUX6DOKVuvC9lTL2LHMaZst4F3DlY3g9pmNtu4" TargetMode="External" Id="Rca9402b109ff45e8" /><Relationship Type="http://schemas.openxmlformats.org/officeDocument/2006/relationships/hyperlink" Target="https://mail.google.com/mail?extsrc=sync&amp;client=docs&amp;plid=ACUX6DMifaw-6YGCc3j9tlZoQHo7RKheBI1eWQY" TargetMode="External" Id="R1afa49961b8e4eb6" /><Relationship Type="http://schemas.openxmlformats.org/officeDocument/2006/relationships/hyperlink" Target="https://mail.google.com/mail?extsrc=sync&amp;client=docs&amp;plid=ACUX6DM-nl-VnXCwLWZ-QiooitgHUR_Hs6ngy80" TargetMode="External" Id="R88b48672fd6b4be8" /><Relationship Type="http://schemas.openxmlformats.org/officeDocument/2006/relationships/hyperlink" Target="https://mail.google.com/mail?extsrc=sync&amp;client=docs&amp;plid=ACUX6DMaCfvcIBYasowYtc9aZmWWseUo6pWLqtc" TargetMode="External" Id="Ra97f4ee3bb3f4568" /><Relationship Type="http://schemas.openxmlformats.org/officeDocument/2006/relationships/hyperlink" Target="https://mail.google.com/mail?extsrc=sync&amp;client=docs&amp;plid=ACUX6DMWuj0cz_WiqcjWnPo323xtehCU4YrUHK4" TargetMode="External" Id="R9dcc1a4ef0ce4f09" /><Relationship Type="http://schemas.openxmlformats.org/officeDocument/2006/relationships/hyperlink" Target="https://mail.google.com/mail?extsrc=sync&amp;client=docs&amp;plid=ACUX6DP4htEpngNvgJa9fZ3RFydFeP5U_K5fqgo" TargetMode="External" Id="R374727d531e04347" /><Relationship Type="http://schemas.openxmlformats.org/officeDocument/2006/relationships/hyperlink" Target="https://mail.google.com/mail?extsrc=sync&amp;client=docs&amp;plid=ACUX6DOZpglSVso58zEpdu6VR_JNrn-PCiX-pMM" TargetMode="External" Id="Rf52bf08dd1064cc5" /><Relationship Type="http://schemas.openxmlformats.org/officeDocument/2006/relationships/hyperlink" Target="https://mail.google.com/mail?extsrc=sync&amp;client=docs&amp;plid=ACUX6DOZ0wOafeCYN9y_vBx_mTq29_TBca5vAbY" TargetMode="External" Id="Race2ee8004e94337" /><Relationship Type="http://schemas.openxmlformats.org/officeDocument/2006/relationships/hyperlink" Target="https://mail.google.com/mail?extsrc=sync&amp;client=docs&amp;plid=ACUX6DNVAr9IYmj73Hak81_PHLtlRpCN5HvOLbQ" TargetMode="External" Id="Re73ff629892b4745" /><Relationship Type="http://schemas.openxmlformats.org/officeDocument/2006/relationships/hyperlink" Target="https://mail.google.com/mail?extsrc=sync&amp;client=docs&amp;plid=ACUX6DNtmk_m-Vk8Lg1g9bTVnrYrmzs061Myh9g" TargetMode="External" Id="R9c8f3ec8daf34f12" /><Relationship Type="http://schemas.openxmlformats.org/officeDocument/2006/relationships/hyperlink" Target="https://mail.google.com/mail?extsrc=sync&amp;client=docs&amp;plid=ACUX6DNGBLNkeGWVx_t4wJYTeCXfEGowlNcXO6c" TargetMode="External" Id="R69949339a697407e" /><Relationship Type="http://schemas.openxmlformats.org/officeDocument/2006/relationships/hyperlink" Target="https://mail.google.com/mail?extsrc=sync&amp;client=docs&amp;plid=ACUX6DN-jlSYlYc0PvVQ3vj6sKPlry1NEBPM2Z4" TargetMode="External" Id="R0f04a8f24d42485c" /><Relationship Type="http://schemas.openxmlformats.org/officeDocument/2006/relationships/hyperlink" Target="https://mail.google.com/mail?extsrc=sync&amp;client=docs&amp;plid=ACUX6DOdUhYn7p5Iv2V1oLDU5wBojn_f_V8KM1I" TargetMode="External" Id="R4f1eecf364184553" /><Relationship Type="http://schemas.openxmlformats.org/officeDocument/2006/relationships/hyperlink" Target="https://mail.google.com/mail?extsrc=sync&amp;client=docs&amp;plid=ACUX6DM-WvGJe3YlW-bltjhFElk1nSgB6XMmqVA" TargetMode="External" Id="R026768e2c4104e76" /><Relationship Type="http://schemas.openxmlformats.org/officeDocument/2006/relationships/hyperlink" Target="https://mail.google.com/mail?extsrc=sync&amp;client=docs&amp;plid=ACUX6DONQ7TqpZlPgJJDxbsrvm1YkZvwNp8smEI" TargetMode="External" Id="R9ac39c2d89f8458e" /><Relationship Type="http://schemas.openxmlformats.org/officeDocument/2006/relationships/hyperlink" Target="https://mail.google.com/mail?extsrc=sync&amp;client=docs&amp;plid=ACUX6DMZxaid8CFCCcm27NNnGAwwswetbMGXBO0" TargetMode="External" Id="R744fefb56c7647ed" /><Relationship Type="http://schemas.openxmlformats.org/officeDocument/2006/relationships/hyperlink" Target="https://mail.google.com/mail?extsrc=sync&amp;client=docs&amp;plid=ACUX6DMqIz2N-s_GmSMTJBoA9CIACsn20n-9lQQ" TargetMode="External" Id="R0e2acaef23394d31" /><Relationship Type="http://schemas.openxmlformats.org/officeDocument/2006/relationships/hyperlink" Target="https://mail.google.com/mail?extsrc=sync&amp;client=docs&amp;plid=ACUX6DO8STG0HOIxHmFIb6tqNRVN6_VuCoKzIGU" TargetMode="External" Id="R88d9af5bbb984a45" /><Relationship Type="http://schemas.openxmlformats.org/officeDocument/2006/relationships/hyperlink" Target="https://mail.google.com/mail?extsrc=sync&amp;client=docs&amp;plid=ACUX6DMKrT-5uJBcCXOdegdA6RBMbyK5_mXwenY" TargetMode="External" Id="Rfc0964535eab4909" /><Relationship Type="http://schemas.openxmlformats.org/officeDocument/2006/relationships/hyperlink" Target="https://mail.google.com/mail?extsrc=sync&amp;client=docs&amp;plid=ACUX6DO8STG0HOIxHmFIb6tqNRVN6_VuCoKzIGU" TargetMode="External" Id="R5cedc7902bce49d7" /><Relationship Type="http://schemas.openxmlformats.org/officeDocument/2006/relationships/hyperlink" Target="https://mail.google.com/mail?extsrc=sync&amp;client=docs&amp;plid=ACUX6DOB7Jh8iWRnuMoIrpQw0ZZ6VLAyuLuoRXA" TargetMode="External" Id="R37d8d96079624b79" /><Relationship Type="http://schemas.openxmlformats.org/officeDocument/2006/relationships/hyperlink" Target="https://mail.google.com/mail?extsrc=sync&amp;client=docs&amp;plid=ACUX6DNKfJwtI7bJY3TvWVe9V-uTFNUEvnh3A8I" TargetMode="External" Id="R0779612a49bc4128" /><Relationship Type="http://schemas.openxmlformats.org/officeDocument/2006/relationships/hyperlink" Target="https://mail.google.com/mail?extsrc=sync&amp;client=docs&amp;plid=ACUX6DO_Dyu6bRPUOtL5I-X9diHTvlsZMzJ3PD4" TargetMode="External" Id="Rc9aa9cb96ad44547" /><Relationship Type="http://schemas.openxmlformats.org/officeDocument/2006/relationships/hyperlink" Target="https://mail.google.com/mail?extsrc=sync&amp;client=docs&amp;plid=ACUX6DNDof-HZJjGiPImvPU4xsEit33zMjHSprE" TargetMode="External" Id="R6c8793a245fe4357" /><Relationship Type="http://schemas.openxmlformats.org/officeDocument/2006/relationships/hyperlink" Target="https://mail.google.com/mail?extsrc=sync&amp;client=docs&amp;plid=ACUX6DMkGf4hAcmkADTY9d2KRdukmyaspAv0aRE" TargetMode="External" Id="R58b45ebe346c428d" /><Relationship Type="http://schemas.openxmlformats.org/officeDocument/2006/relationships/hyperlink" Target="https://mail.google.com/mail?extsrc=sync&amp;client=docs&amp;plid=ACUX6DOw98O3sJ2An7DhLloOAHGnPPt2Nn73vJs" TargetMode="External" Id="R71b8d2c9a4f84b16" /><Relationship Type="http://schemas.openxmlformats.org/officeDocument/2006/relationships/hyperlink" Target="https://mail.google.com/mail?extsrc=sync&amp;client=docs&amp;plid=ACUX6DPPxrJ2r-K0W65xKLKWt69KDTNLS150tsA" TargetMode="External" Id="Ra57cad8c1ee34480" /><Relationship Type="http://schemas.openxmlformats.org/officeDocument/2006/relationships/hyperlink" Target="https://mail.google.com/mail?extsrc=sync&amp;client=docs&amp;plid=ACUX6DOTMoT5L5uEekhkXwsHQSgw1KkM_eYdJKQ" TargetMode="External" Id="R248df7d0eaec46e1" /><Relationship Type="http://schemas.openxmlformats.org/officeDocument/2006/relationships/hyperlink" Target="https://mail.google.com/mail?extsrc=sync&amp;client=docs&amp;plid=ACUX6DOhgeZycf1QCHpJPJ4e-Z23Fd5KJbj6CZM" TargetMode="External" Id="R6a7adbf00f254b6d" /><Relationship Type="http://schemas.openxmlformats.org/officeDocument/2006/relationships/hyperlink" Target="https://mail.google.com/mail?extsrc=sync&amp;client=docs&amp;plid=ACUX6DMeH3-zdjFubvxvLKQx_FcsnyqolHuuc9A" TargetMode="External" Id="Rda4a10f223c041e9" /><Relationship Type="http://schemas.openxmlformats.org/officeDocument/2006/relationships/hyperlink" Target="https://mail.google.com/mail?extsrc=sync&amp;client=docs&amp;plid=ACUX6DPaZMtYGzu0M4gp3mOvJ79oEMnHmlvrDAA" TargetMode="External" Id="R7d1eeba96f0a4db7" /><Relationship Type="http://schemas.openxmlformats.org/officeDocument/2006/relationships/hyperlink" Target="https://mail.google.com/mail?extsrc=sync&amp;client=docs&amp;plid=ACUX6DMA1Rb_cO2jFLSo-mphLlBn4gTPpttB3is" TargetMode="External" Id="R8ea7896239c64ef5" /><Relationship Type="http://schemas.openxmlformats.org/officeDocument/2006/relationships/hyperlink" Target="https://mail.google.com/mail?extsrc=sync&amp;client=docs&amp;plid=ACUX6DP7zmBAYT5qb2qx6ul2ol5-YYc0msM1fXw" TargetMode="External" Id="Rb6b0acca94c94a61" /><Relationship Type="http://schemas.openxmlformats.org/officeDocument/2006/relationships/hyperlink" Target="https://mail.google.com/mail?extsrc=sync&amp;client=docs&amp;plid=ACUX6DMEks43CgpfYxclzHRs2ZgYfzMrWu4XzyU" TargetMode="External" Id="R224ce62a5fbc44fe" /><Relationship Type="http://schemas.openxmlformats.org/officeDocument/2006/relationships/hyperlink" Target="https://mail.google.com/mail?extsrc=sync&amp;client=docs&amp;plid=ACUX6DPdNeh5BPDQcbvbL94u1tnIz_spi4WqRNc" TargetMode="External" Id="R331ae92d223642cc" /><Relationship Type="http://schemas.openxmlformats.org/officeDocument/2006/relationships/hyperlink" Target="https://mail.google.com/mail?extsrc=sync&amp;client=docs&amp;plid=ACUX6DPLl5LQ6FId6mzGGTpIppMgRFaOqzq7idQ" TargetMode="External" Id="Rccad80ab7ec74586" /><Relationship Type="http://schemas.openxmlformats.org/officeDocument/2006/relationships/hyperlink" Target="https://mail.google.com/mail?extsrc=sync&amp;client=docs&amp;plid=ACUX6DPE70RpeY6fhYxGCxKME4T7SYrIRd87nKY" TargetMode="External" Id="Rcde0e328b91e4439" /><Relationship Type="http://schemas.openxmlformats.org/officeDocument/2006/relationships/hyperlink" Target="https://mail.google.com/mail?extsrc=sync&amp;client=docs&amp;plid=ACUX6DPE70RpeY6fhYxGCxKME4T7SYrIRd87nKY" TargetMode="External" Id="R40df66a6fcc94740" /><Relationship Type="http://schemas.openxmlformats.org/officeDocument/2006/relationships/hyperlink" Target="https://mail.google.com/mail?extsrc=sync&amp;client=docs&amp;plid=ACUX6DPLl5LQ6FId6mzGGTpIppMgRFaOqzq7idQ" TargetMode="External" Id="Ra80b7d1de2ee428c" /><Relationship Type="http://schemas.openxmlformats.org/officeDocument/2006/relationships/hyperlink" Target="https://mail.google.com/mail?extsrc=sync&amp;client=docs&amp;plid=ACUX6DORSh-GjCRnZ4LYr0cg60gD1_LM77JrxsI" TargetMode="External" Id="Ra8ea9d549f4344b2" /><Relationship Type="http://schemas.openxmlformats.org/officeDocument/2006/relationships/hyperlink" Target="https://mail.google.com/mail?extsrc=sync&amp;client=docs&amp;plid=ACUX6DOvuQnCzv4zmQTjYqDauhfkI6UnujD1NXo" TargetMode="External" Id="Ra8200e5bc99545f5" /><Relationship Type="http://schemas.openxmlformats.org/officeDocument/2006/relationships/hyperlink" Target="https://mail.google.com/mail?extsrc=sync&amp;client=docs&amp;plid=ACUX6DOD0vBTJOnqjisUfcUSCy8iZ-TxMIL22sk" TargetMode="External" Id="R7456980a84f3414e" /><Relationship Type="http://schemas.openxmlformats.org/officeDocument/2006/relationships/hyperlink" Target="https://mail.google.com/mail?extsrc=sync&amp;client=docs&amp;plid=ACUX6DPlUAigEfftYePbVK3p6y6Ac_JWmkca2X8" TargetMode="External" Id="R4990c06d10794f99" /><Relationship Type="http://schemas.openxmlformats.org/officeDocument/2006/relationships/hyperlink" Target="https://mail.google.com/mail?extsrc=sync&amp;client=docs&amp;plid=ACUX6DN8uO-jsQP9GDFBDIzkb6RJ8Yy06dk8xFU" TargetMode="External" Id="R550e521be30a4c44" /><Relationship Type="http://schemas.openxmlformats.org/officeDocument/2006/relationships/hyperlink" Target="https://mail.google.com/mail?extsrc=sync&amp;client=docs&amp;plid=ACUX6DNDYWHmXIRIbvtpefOtKqL6XNdxrk-2uj0" TargetMode="External" Id="Rdbf7879181fb445c" /><Relationship Type="http://schemas.openxmlformats.org/officeDocument/2006/relationships/hyperlink" Target="https://mail.google.com/mail?extsrc=sync&amp;client=docs&amp;plid=ACUX6DNnyrr_x4rZKzVeGboSV4W867wFIcAyYy8" TargetMode="External" Id="R4f2ab02a2f654440" /><Relationship Type="http://schemas.openxmlformats.org/officeDocument/2006/relationships/hyperlink" Target="https://mail.google.com/mail?extsrc=sync&amp;client=docs&amp;plid=ACUX6DMC9PwVq3ymcQ4LQPavDgQ6OkAwavtCLZM" TargetMode="External" Id="R8e6ebbacaf8449f5" /><Relationship Type="http://schemas.openxmlformats.org/officeDocument/2006/relationships/hyperlink" Target="https://mail.google.com/mail?extsrc=sync&amp;client=docs&amp;plid=ACUX6DM4pxUF2g_RGtBJApke7lqA_0XhZpPd1FY" TargetMode="External" Id="R9f230ec5200843bf" /><Relationship Type="http://schemas.openxmlformats.org/officeDocument/2006/relationships/hyperlink" Target="https://mail.google.com/mail?extsrc=sync&amp;client=docs&amp;plid=ACUX6DPMYcHI7-GVUYjXP8F43FdVxKY7Vsw2ZAk" TargetMode="External" Id="Rdd4cacd6899b43d8" /><Relationship Type="http://schemas.openxmlformats.org/officeDocument/2006/relationships/hyperlink" Target="https://mail.google.com/mail?extsrc=sync&amp;client=docs&amp;plid=ACUX6DN6Mry0uDj7mIl0p_7YkXWAF1PieA8cfGM" TargetMode="External" Id="R405d791922a5425e" /><Relationship Type="http://schemas.openxmlformats.org/officeDocument/2006/relationships/hyperlink" Target="https://mail.google.com/mail?extsrc=sync&amp;client=docs&amp;plid=ACUX6DMip_BwKF_BdbLCm6xbf7zhOzmONxeH41o" TargetMode="External" Id="Rfda9e941ec3d4a68" /><Relationship Type="http://schemas.openxmlformats.org/officeDocument/2006/relationships/hyperlink" Target="https://mail.google.com/mail?extsrc=sync&amp;client=docs&amp;plid=ACUX6DMN26kNYNdL8BBY5D7tKTbmWEA8WE2wHdE" TargetMode="External" Id="Rd909f917acb5405f" /><Relationship Type="http://schemas.openxmlformats.org/officeDocument/2006/relationships/hyperlink" Target="https://mail.google.com/mail?extsrc=sync&amp;client=docs&amp;plid=ACUX6DPTyOcHW2PhZ3iEpBZcKpEsfliTkIRJ3Rs" TargetMode="External" Id="Ra3d57e946c764068" /><Relationship Type="http://schemas.openxmlformats.org/officeDocument/2006/relationships/hyperlink" Target="https://mail.google.com/mail?extsrc=sync&amp;client=docs&amp;plid=ACUX6DOeu77RvRsyDSQi3gDwFPQZsyrNmkP0mQ8" TargetMode="External" Id="R40dc4a7165324521" /><Relationship Type="http://schemas.openxmlformats.org/officeDocument/2006/relationships/hyperlink" Target="https://mail.google.com/mail?extsrc=sync&amp;client=docs&amp;plid=ACUX6DOSP9U8RGSgEXVZh6ephqSHbrqywOcIjlE" TargetMode="External" Id="R6039b404ff254166" /><Relationship Type="http://schemas.openxmlformats.org/officeDocument/2006/relationships/hyperlink" Target="https://mail.google.com/mail?extsrc=sync&amp;client=docs&amp;plid=ACUX6DOIZyP_ny8oJtg3lclA6YrVssgYlBN2Tjk" TargetMode="External" Id="R127e0f2b11734ea3" /><Relationship Type="http://schemas.openxmlformats.org/officeDocument/2006/relationships/hyperlink" Target="https://mail.google.com/mail?extsrc=sync&amp;client=docs&amp;plid=ACUX6DOonaHptv7LQDcdu-zz9Im2Cp24kTg9BxM" TargetMode="External" Id="Rd3c2c52e873242c8" /><Relationship Type="http://schemas.openxmlformats.org/officeDocument/2006/relationships/hyperlink" Target="https://mail.google.com/mail?extsrc=sync&amp;client=docs&amp;plid=ACUX6DPSmpAdGgzJo8087TFk82RDVSQEB4KxU_Y" TargetMode="External" Id="Rb820a78b82c84b34" /><Relationship Type="http://schemas.openxmlformats.org/officeDocument/2006/relationships/hyperlink" Target="https://mail.google.com/mail?extsrc=sync&amp;client=docs&amp;plid=ACUX6DO_-ghrjfb2uPK14JdsAdEpcGHPFWN-oq8" TargetMode="External" Id="Rc1283cdf57fe4f90" /><Relationship Type="http://schemas.openxmlformats.org/officeDocument/2006/relationships/hyperlink" Target="https://mail.google.com/mail?extsrc=sync&amp;client=docs&amp;plid=ACUX6DPUG4CO47Cors0LbtdbXy0vNaKt23Hxjhw" TargetMode="External" Id="R068da8ed1b8a4e27" /><Relationship Type="http://schemas.openxmlformats.org/officeDocument/2006/relationships/hyperlink" Target="https://mail.google.com/mail?extsrc=sync&amp;client=docs&amp;plid=ACUX6DMU3rpSLhtqFGvBk5eCjFpLkbNEKssfcoI" TargetMode="External" Id="R02e4f4e5b8514695" /><Relationship Type="http://schemas.openxmlformats.org/officeDocument/2006/relationships/hyperlink" Target="https://mail.google.com/mail?extsrc=sync&amp;client=docs&amp;plid=ACUX6DPKejB28uYcaX7fZboXTcLbRUkluYliBmc" TargetMode="External" Id="Redb470f474f64119" /><Relationship Type="http://schemas.openxmlformats.org/officeDocument/2006/relationships/hyperlink" Target="https://mail.google.com/mail?extsrc=sync&amp;client=docs&amp;plid=ACUX6DNYYDR0Ce2p2UzoMqXWwrOeLgszR_ZhEWw" TargetMode="External" Id="R5c5fecdde2104752" /><Relationship Type="http://schemas.openxmlformats.org/officeDocument/2006/relationships/hyperlink" Target="https://mail.google.com/mail?extsrc=sync&amp;client=docs&amp;plid=ACUX6DOMaFkxrwFH9JVSMbefOWu9MmnE-QEmzKk" TargetMode="External" Id="Rd9f1d3e7b49c433a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ColWidth="12.630000114440918" defaultRowHeight="15.75"/>
  <x:sheetData>
    <x:row r="1">
      <x:c r="A1" s="2" t="str">
        <x:v>source</x:v>
      </x:c>
      <x:c r="B1" s="2" t="str">
        <x:v>type</x:v>
      </x:c>
      <x:c r="C1" s="2" t="str">
        <x:v>title</x:v>
      </x:c>
      <x:c r="D1" s="2" t="str">
        <x:v>body</x:v>
      </x:c>
      <x:c r="E1" s="2" t="str">
        <x:v>startAt</x:v>
      </x:c>
      <x:c r="F1" s="2" t="str">
        <x:v>dueAt</x:v>
      </x:c>
      <x:c r="G1" s="2" t="str">
        <x:v>periodText</x:v>
      </x:c>
      <x:c r="H1" s="2" t="str">
        <x:v>lateSubmission</x:v>
      </x:c>
      <x:c r="I1" s="2" t="str">
        <x:v>assignmentType</x:v>
      </x:c>
      <x:c r="J1" s="2" t="str">
        <x:v>attachment</x:v>
      </x:c>
      <x:c r="K1" s="2" t="str">
        <x:v>pageUrl</x:v>
      </x:c>
      <x:c r="L1" s="2" t="str">
        <x:v>extractedAt</x:v>
      </x:c>
      <x:c r="M1" s="2" t="str">
        <x:v>receivedAt</x:v>
      </x:c>
      <x:c r="N1" s="2" t="str">
        <x:v>rawJson</x:v>
      </x:c>
      <x:c r="O1" s="2" t="str">
        <x:v>status</x:v>
      </x:c>
      <x:c r="P1" s="2" t="str">
        <x:v>completedAt</x:v>
      </x:c>
      <x:c r="Q1" s="2" t="str">
        <x:v>assignmentKey</x:v>
      </x:c>
    </x:row>
    <x:row r="2">
      <x:c r="A2" s="1" t="str">
        <x:v>inCampus</x:v>
      </x:c>
      <x:c r="B2" s="1" t="str">
        <x:v>assignment</x:v>
      </x:c>
      <x:c r="C2" s="1" t="str">
        <x:v>仮想基準期限レポート</x:v>
      </x:c>
      <x:c r="D2" s="1" t="str">
        <x:v>架空の課題本文です。実在の授業・人物・提出先を含みません。</x:v>
      </x:c>
      <x:c r="E2" s="4" t="n">
        <x:v>46267</x:v>
      </x:c>
      <x:c r="F2" s="4" t="n">
        <x:v>46275</x:v>
      </x:c>
      <x:c r="G2" s="1" t="str">
        <x:v>2026/09/01 09:00
～
2026/09/10 00:00</x:v>
      </x:c>
      <x:c r="H2" s="1" t="str">
        <x:v>不可</x:v>
      </x:c>
      <x:c r="I2" s="1" t="str">
        <x:v>個人</x:v>
      </x:c>
      <x:c r="J2" t="str"/>
      <x:c r="K2" s="5" t="str">
        <x:v>https://portal.example.invalid/course/report/SIM-0001</x:v>
      </x:c>
      <x:c r="L2" s="1" t="n">
        <x:v>46273.958333333336</x:v>
      </x:c>
      <x:c r="M2" s="6" t="n">
        <x:v>46274</x:v>
      </x:c>
      <x:c r="N2" s="1" t="str">
        <x:v>{"source":"inCampus","type":"assignment","title":"仮想基準期限レポート","body":"架空の課題本文です。実在の授業・人物・提出先を含みません。","startAt":"2026/09/01 09:00","dueAt":"2026/09/10 00:00","courseName":"仮想心理演習","updateText":"・課題（仮想基準期限レポート）が追加されました。","updateAction":"add","updateAt":"2026/09/01 09:00","pageUrl":"https://portal.example.invalid/course/report/SIM-0001","assignmentKey":"SIM-ASSIGN-0001"}</x:v>
      </x:c>
      <x:c r="O2" s="1" t="str">
        <x:v>未確認</x:v>
      </x:c>
      <x:c r="P2" t="str"/>
      <x:c r="Q2" t="str">
        <x:v>SIM-ASSIGN-0001</x:v>
      </x:c>
    </x:row>
    <x:row r="3">
      <x:c r="A3" s="1" t="str">
        <x:v>inCampus</x:v>
      </x:c>
      <x:c r="B3" s="1" t="str">
        <x:v>assignment</x:v>
      </x:c>
      <x:c r="C3" s="1" t="str">
        <x:v>仮想提出課題-002</x:v>
      </x:c>
      <x:c r="D3" s="1" t="str">
        <x:v>架空の課題本文です。実在の授業・人物・提出先を含みません。</x:v>
      </x:c>
      <x:c r="E3" t="n">
        <x:v>46268</x:v>
      </x:c>
      <x:c r="F3" t="n">
        <x:v>46270.62430555555</x:v>
      </x:c>
      <x:c r="G3" s="1" t="str">
        <x:v>2026/09/01 09:00
～
2026/09/05 23:59</x:v>
      </x:c>
      <x:c r="H3" t="str">
        <x:v>不可</x:v>
      </x:c>
      <x:c r="I3" t="str">
        <x:v>個人</x:v>
      </x:c>
      <x:c r="J3" t="str"/>
      <x:c r="K3" s="5" t="str">
        <x:v>https://portal.example.invalid/course/report/SIM-0002</x:v>
      </x:c>
      <x:c r="L3" s="1" t="n">
        <x:v>46273.958333333336</x:v>
      </x:c>
      <x:c r="M3" s="6" t="n">
        <x:v>46274</x:v>
      </x:c>
      <x:c r="N3" s="1" t="str">
        <x:v>{"source":"inCampus","type":"assignment","title":"仮想提出課題-002","body":"架空の課題本文です。実在の授業・人物・提出先を含みません。","startAt":"2026/09/01 09:00","dueAt":"2026/09/05 23:59","courseName":"サンプル情報設計","updateText":"・課題（仮想提出課題-002）が追加されました。","updateAction":"add","updateAt":"2026/09/01 09:00","pageUrl":"https://portal.example.invalid/course/report/SIM-0002","assignmentKey":"SIM-ASSIGN-0002"}</x:v>
      </x:c>
      <x:c r="O3" s="1" t="str">
        <x:v>未確認</x:v>
      </x:c>
      <x:c r="P3" t="str"/>
      <x:c r="Q3" t="str">
        <x:v>SIM-ASSIGN-0002</x:v>
      </x:c>
    </x:row>
    <x:row r="4">
      <x:c r="A4" s="1" t="str">
        <x:v>inCampus</x:v>
      </x:c>
      <x:c r="B4" s="1" t="str">
        <x:v>assignment</x:v>
      </x:c>
      <x:c r="C4" s="1" t="str">
        <x:v>仮想提出課題-003</x:v>
      </x:c>
      <x:c r="D4" s="1" t="str">
        <x:v>架空の課題本文です。実在の授業・人物・提出先を含みません。</x:v>
      </x:c>
      <x:c r="E4" s="4" t="n">
        <x:v>46269</x:v>
      </x:c>
      <x:c r="F4" s="4" t="n">
        <x:v>46271.62430555555</x:v>
      </x:c>
      <x:c r="G4" s="1" t="str">
        <x:v>2026/09/01 09:00
～
2026/09/06 23:59</x:v>
      </x:c>
      <x:c r="H4" s="1" t="str">
        <x:v>不可</x:v>
      </x:c>
      <x:c r="I4" s="1" t="str">
        <x:v>個人</x:v>
      </x:c>
      <x:c r="J4" t="str"/>
      <x:c r="K4" s="5" t="str">
        <x:v>https://portal.example.invalid/course/report/SIM-0003</x:v>
      </x:c>
      <x:c r="L4" s="1" t="n">
        <x:v>46273.958333333336</x:v>
      </x:c>
      <x:c r="M4" s="6" t="n">
        <x:v>46274</x:v>
      </x:c>
      <x:c r="N4" s="1" t="str">
        <x:v>{"source":"inCampus","type":"assignment","title":"仮想提出課題-003","body":"架空の課題本文です。実在の授業・人物・提出先を含みません。","startAt":"2026/09/01 09:00","dueAt":"2026/09/06 23:59","courseName":"架空データ解析","updateText":"・課題（仮想提出課題-003）が追加されました。","updateAction":"add","updateAt":"2026/09/01 09:00","pageUrl":"https://portal.example.invalid/course/report/SIM-0003","assignmentKey":"SIM-ASSIGN-0003"}</x:v>
      </x:c>
      <x:c r="O4" s="1" t="str">
        <x:v>未確認</x:v>
      </x:c>
      <x:c r="P4" t="str"/>
      <x:c r="Q4" s="1" t="str">
        <x:v>SIM-ASSIGN-0003</x:v>
      </x:c>
    </x:row>
    <x:row r="5">
      <x:c r="A5" s="1" t="str">
        <x:v>inCampus</x:v>
      </x:c>
      <x:c r="B5" s="1" t="str">
        <x:v>assignment</x:v>
      </x:c>
      <x:c r="C5" s="1" t="str">
        <x:v>仮想提出課題-004</x:v>
      </x:c>
      <x:c r="D5" s="1" t="str">
        <x:v>架空の課題本文です。実在の授業・人物・提出先を含みません。</x:v>
      </x:c>
      <x:c r="E5" s="4" t="n">
        <x:v>46270</x:v>
      </x:c>
      <x:c r="F5" s="4" t="n">
        <x:v>46272.62430555555</x:v>
      </x:c>
      <x:c r="G5" s="1" t="str">
        <x:v>2026/09/01 09:00
～
2026/09/07 23:59</x:v>
      </x:c>
      <x:c r="H5" s="1" t="str">
        <x:v>不可</x:v>
      </x:c>
      <x:c r="I5" s="1" t="str">
        <x:v>個人</x:v>
      </x:c>
      <x:c r="J5" t="str"/>
      <x:c r="K5" s="5" t="str">
        <x:v>https://portal.example.invalid/course/report/SIM-0004</x:v>
      </x:c>
      <x:c r="L5" s="1" t="n">
        <x:v>46273.958333333336</x:v>
      </x:c>
      <x:c r="M5" s="6" t="n">
        <x:v>46274</x:v>
      </x:c>
      <x:c r="N5" s="1" t="str">
        <x:v>{"source":"inCampus","type":"assignment","title":"仮想提出課題-004","body":"架空の課題本文です。実在の授業・人物・提出先を含みません。","startAt":"2026/09/01 09:00","dueAt":"2026/09/07 23:59","courseName":"仮想心理演習","updateText":"・課題（仮想提出課題-004）が追加されました。","updateAction":"add","updateAt":"2026/09/01 09:00","pageUrl":"https://portal.example.invalid/course/report/SIM-0004","assignmentKey":"SIM-ASSIGN-0004"}</x:v>
      </x:c>
      <x:c r="O5" s="1" t="str">
        <x:v>完了</x:v>
      </x:c>
      <x:c r="P5" t="n">
        <x:v>46273.375</x:v>
      </x:c>
      <x:c r="Q5" s="1" t="str">
        <x:v>SIM-ASSIGN-0004</x:v>
      </x:c>
    </x:row>
    <x:row r="6">
      <x:c r="A6" s="1" t="str">
        <x:v>inCampus</x:v>
      </x:c>
      <x:c r="B6" s="1" t="str">
        <x:v>assignment</x:v>
      </x:c>
      <x:c r="C6" s="1" t="str">
        <x:v>仮想提出課題-005</x:v>
      </x:c>
      <x:c r="D6" s="1" t="str">
        <x:v>架空の課題本文です。実在の授業・人物・提出先を含みません。</x:v>
      </x:c>
      <x:c r="E6" s="4" t="n">
        <x:v>46271</x:v>
      </x:c>
      <x:c r="F6" s="4" t="n">
        <x:v>46273.62430555555</x:v>
      </x:c>
      <x:c r="G6" s="1" t="str">
        <x:v>2026/09/01 09:00
～
2026/09/08 23:59</x:v>
      </x:c>
      <x:c r="H6" s="1" t="str">
        <x:v>不可</x:v>
      </x:c>
      <x:c r="I6" s="1" t="str">
        <x:v>個人</x:v>
      </x:c>
      <x:c r="J6" s="1" t="str"/>
      <x:c r="K6" s="5" t="str">
        <x:v>https://portal.example.invalid/course/report/SIM-0005</x:v>
      </x:c>
      <x:c r="L6" s="1" t="n">
        <x:v>46273.958333333336</x:v>
      </x:c>
      <x:c r="M6" s="6" t="n">
        <x:v>46274</x:v>
      </x:c>
      <x:c r="N6" s="1" t="str">
        <x:v>{"source":"inCampus","type":"assignment","title":"仮想提出課題-005","body":"架空の課題本文です。実在の授業・人物・提出先を含みません。","startAt":"2026/09/01 09:00","dueAt":"2026/09/08 23:59","courseName":"サンプル情報設計","updateText":"・課題（仮想提出課題-005）が追加されました。","updateAction":"add","updateAt":"2026/09/01 09:00","pageUrl":"https://portal.example.invalid/course/report/SIM-0005","assignmentKey":"SIM-ASSIGN-0005"}</x:v>
      </x:c>
      <x:c r="O6" s="1" t="str">
        <x:v>未確認</x:v>
      </x:c>
      <x:c r="P6" s="3" t="str"/>
      <x:c r="Q6" t="str">
        <x:v>SIM-ASSIGN-0005</x:v>
      </x:c>
    </x:row>
    <x:row r="7">
      <x:c r="A7" s="1" t="str">
        <x:v>inCampus</x:v>
      </x:c>
      <x:c r="B7" s="1" t="str">
        <x:v>assignment</x:v>
      </x:c>
      <x:c r="C7" s="1" t="str">
        <x:v>仮想提出課題-006</x:v>
      </x:c>
      <x:c r="D7" s="1" t="str">
        <x:v>架空の課題本文です。実在の授業・人物・提出先を含みません。</x:v>
      </x:c>
      <x:c r="E7" t="n">
        <x:v>46272</x:v>
      </x:c>
      <x:c r="F7" t="n">
        <x:v>46274.62430555555</x:v>
      </x:c>
      <x:c r="G7" s="1" t="str">
        <x:v>2026/09/01 09:00
～
2026/09/09 23:59</x:v>
      </x:c>
      <x:c r="H7" t="str">
        <x:v>不可</x:v>
      </x:c>
      <x:c r="I7" t="str">
        <x:v>個人</x:v>
      </x:c>
      <x:c r="J7" t="str"/>
      <x:c r="K7" s="5" t="str">
        <x:v>https://portal.example.invalid/course/report/SIM-0006</x:v>
      </x:c>
      <x:c r="L7" s="1" t="n">
        <x:v>46273.958333333336</x:v>
      </x:c>
      <x:c r="M7" s="6" t="n">
        <x:v>46274</x:v>
      </x:c>
      <x:c r="N7" s="1" t="str">
        <x:v>{"source":"inCampus","type":"assignment","title":"仮想提出課題-006","body":"架空の課題本文です。実在の授業・人物・提出先を含みません。","startAt":"2026/09/01 09:00","dueAt":"2026/09/09 23:59","courseName":"架空データ解析","updateText":"・課題（仮想提出課題-006）が追加されました。","updateAction":"add","updateAt":"2026/09/01 09:00","pageUrl":"https://portal.example.invalid/course/report/SIM-0006","assignmentKey":"SIM-ASSIGN-0006"}</x:v>
      </x:c>
      <x:c r="O7" s="1" t="str">
        <x:v>未確認</x:v>
      </x:c>
      <x:c r="P7" t="str"/>
      <x:c r="Q7" s="1" t="str">
        <x:v>SIM-ASSIGN-0006</x:v>
      </x:c>
    </x:row>
    <x:row r="8">
      <x:c r="A8" s="1" t="str">
        <x:v>inCampus</x:v>
      </x:c>
      <x:c r="B8" s="1" t="str">
        <x:v>assignment</x:v>
      </x:c>
      <x:c r="C8" s="1" t="str">
        <x:v>仮想提出課題-007</x:v>
      </x:c>
      <x:c r="D8" t="str">
        <x:v>架空の課題本文です。実在の授業・人物・提出先を含みません。</x:v>
      </x:c>
      <x:c r="E8" s="4" t="n">
        <x:v>46273</x:v>
      </x:c>
      <x:c r="F8" s="4" t="n">
        <x:v>46275.62430555555</x:v>
      </x:c>
      <x:c r="G8" s="1" t="str">
        <x:v>2026/09/01 09:00
～
2026/09/10 23:59</x:v>
      </x:c>
      <x:c r="H8" t="str">
        <x:v>不可</x:v>
      </x:c>
      <x:c r="I8" t="str">
        <x:v>個人</x:v>
      </x:c>
      <x:c r="J8" s="1" t="str"/>
      <x:c r="K8" s="5" t="str">
        <x:v>https://portal.example.invalid/course/report/SIM-0007</x:v>
      </x:c>
      <x:c r="L8" s="1" t="n">
        <x:v>46273.958333333336</x:v>
      </x:c>
      <x:c r="M8" s="6" t="n">
        <x:v>46274</x:v>
      </x:c>
      <x:c r="N8" s="1" t="str">
        <x:v>{"source":"inCampus","type":"assignment","title":"仮想提出課題-007","body":"架空の課題本文です。実在の授業・人物・提出先を含みません。","startAt":"2026/09/01 09:00","dueAt":"2026/09/10 23:59","courseName":"仮想心理演習","updateText":"・課題（仮想提出課題-007）が追加されました。","updateAction":"add","updateAt":"2026/09/01 09:00","pageUrl":"https://portal.example.invalid/course/report/SIM-0007","assignmentKey":"SIM-ASSIGN-0007"}</x:v>
      </x:c>
      <x:c r="O8" s="1" t="str">
        <x:v>未確認</x:v>
      </x:c>
      <x:c r="P8" t="str"/>
      <x:c r="Q8" s="1" t="str">
        <x:v>SIM-ASSIGN-0007</x:v>
      </x:c>
    </x:row>
    <x:row r="9">
      <x:c r="A9" s="1" t="str">
        <x:v>inCampus</x:v>
      </x:c>
      <x:c r="B9" s="1" t="str">
        <x:v>assignment</x:v>
      </x:c>
      <x:c r="C9" s="1" t="str">
        <x:v>仮想提出課題-008</x:v>
      </x:c>
      <x:c r="D9" s="1" t="str">
        <x:v>架空の課題本文です。実在の授業・人物・提出先を含みません。</x:v>
      </x:c>
      <x:c r="E9" s="4" t="n">
        <x:v>46274</x:v>
      </x:c>
      <x:c r="F9" s="4" t="n">
        <x:v>46276.62430555555</x:v>
      </x:c>
      <x:c r="G9" s="1" t="str">
        <x:v>2026/09/01 09:00
～
2026/09/11 23:59</x:v>
      </x:c>
      <x:c r="H9" s="1" t="str">
        <x:v>不可</x:v>
      </x:c>
      <x:c r="I9" s="1" t="str">
        <x:v>個人</x:v>
      </x:c>
      <x:c r="J9" t="str"/>
      <x:c r="K9" s="5" t="str">
        <x:v>https://portal.example.invalid/course/report/SIM-0008</x:v>
      </x:c>
      <x:c r="L9" s="1" t="n">
        <x:v>46273.958333333336</x:v>
      </x:c>
      <x:c r="M9" s="6" t="n">
        <x:v>46274</x:v>
      </x:c>
      <x:c r="N9" s="1" t="str">
        <x:v>{"source":"inCampus","type":"assignment","title":"仮想提出課題-008","body":"架空の課題本文です。実在の授業・人物・提出先を含みません。","startAt":"2026/09/01 09:00","dueAt":"2026/09/11 23:59","courseName":"サンプル情報設計","updateText":"・課題（仮想提出課題-008）が追加されました。","updateAction":"add","updateAt":"2026/09/01 09:00","pageUrl":"https://portal.example.invalid/course/report/SIM-0008","assignmentKey":"SIM-ASSIGN-0008"}</x:v>
      </x:c>
      <x:c r="O9" s="1" t="str">
        <x:v>完了</x:v>
      </x:c>
      <x:c r="P9" t="n">
        <x:v>46273.375</x:v>
      </x:c>
      <x:c r="Q9" s="1" t="str">
        <x:v>SIM-ASSIGN-0008</x:v>
      </x:c>
    </x:row>
    <x:row r="10">
      <x:c r="A10" s="1" t="str">
        <x:v>inCampus</x:v>
      </x:c>
      <x:c r="B10" s="1" t="str">
        <x:v>assignment</x:v>
      </x:c>
      <x:c r="C10" s="1" t="str">
        <x:v>仮想提出課題-009</x:v>
      </x:c>
      <x:c r="D10" s="1" t="str">
        <x:v>架空の課題本文です。実在の授業・人物・提出先を含みません。</x:v>
      </x:c>
      <x:c r="E10" s="4" t="n">
        <x:v>46275</x:v>
      </x:c>
      <x:c r="F10" s="4" t="n">
        <x:v>46277.62430555555</x:v>
      </x:c>
      <x:c r="G10" s="1" t="str">
        <x:v>2026/09/01 09:00
～
2026/09/12 23:59</x:v>
      </x:c>
      <x:c r="H10" s="1" t="str">
        <x:v>不可</x:v>
      </x:c>
      <x:c r="I10" s="1" t="str">
        <x:v>個人</x:v>
      </x:c>
      <x:c r="J10" t="str"/>
      <x:c r="K10" s="5" t="str">
        <x:v>https://portal.example.invalid/course/report/SIM-0009</x:v>
      </x:c>
      <x:c r="L10" s="1" t="n">
        <x:v>46273.958333333336</x:v>
      </x:c>
      <x:c r="M10" s="6" t="n">
        <x:v>46274</x:v>
      </x:c>
      <x:c r="N10" s="1" t="str">
        <x:v>{"source":"inCampus","type":"assignment","title":"仮想提出課題-009","body":"架空の課題本文です。実在の授業・人物・提出先を含みません。","startAt":"2026/09/01 09:00","dueAt":"2026/09/12 23:59","courseName":"架空データ解析","updateText":"・課題（仮想提出課題-009）が追加されました。","updateAction":"add","updateAt":"2026/09/01 09:00","pageUrl":"https://portal.example.invalid/course/report/SIM-0009","assignmentKey":"SIM-ASSIGN-0009"}</x:v>
      </x:c>
      <x:c r="O10" s="1" t="str">
        <x:v>未確認</x:v>
      </x:c>
      <x:c r="P10" t="str"/>
      <x:c r="Q10" s="1" t="str">
        <x:v>SIM-ASSIGN-0009</x:v>
      </x:c>
    </x:row>
    <x:row r="11">
      <x:c r="A11" s="1" t="str">
        <x:v>inCampus</x:v>
      </x:c>
      <x:c r="B11" s="1" t="str">
        <x:v>assignment</x:v>
      </x:c>
      <x:c r="C11" s="1" t="str">
        <x:v>仮想提出課題-010</x:v>
      </x:c>
      <x:c r="D11" s="1" t="str">
        <x:v>架空の課題本文です。実在の授業・人物・提出先を含みません。</x:v>
      </x:c>
      <x:c r="E11" s="4" t="n">
        <x:v>46276</x:v>
      </x:c>
      <x:c r="F11" s="4" t="n">
        <x:v>46278.62430555555</x:v>
      </x:c>
      <x:c r="G11" s="1" t="str">
        <x:v>2026/09/01 09:00
～
2026/09/13 23:59</x:v>
      </x:c>
      <x:c r="H11" s="1" t="str">
        <x:v>不可</x:v>
      </x:c>
      <x:c r="I11" s="1" t="str">
        <x:v>個人</x:v>
      </x:c>
      <x:c r="J11" s="1" t="str"/>
      <x:c r="K11" s="5" t="str">
        <x:v>https://portal.example.invalid/course/report/SIM-0010</x:v>
      </x:c>
      <x:c r="L11" s="1" t="n">
        <x:v>46273.958333333336</x:v>
      </x:c>
      <x:c r="M11" s="6" t="n">
        <x:v>46274</x:v>
      </x:c>
      <x:c r="N11" s="1" t="str">
        <x:v>{"source":"inCampus","type":"assignment","title":"仮想提出課題-010","body":"架空の課題本文です。実在の授業・人物・提出先を含みません。","startAt":"2026/09/01 09:00","dueAt":"2026/09/13 23:59","courseName":"仮想心理演習","updateText":"・課題（仮想提出課題-010）が追加されました。","updateAction":"add","updateAt":"2026/09/01 09:00","pageUrl":"https://portal.example.invalid/course/report/SIM-0010","assignmentKey":"SIM-ASSIGN-0010"}</x:v>
      </x:c>
      <x:c r="O11" s="1" t="str">
        <x:v>未確認</x:v>
      </x:c>
      <x:c r="P11" t="str"/>
      <x:c r="Q11" s="1" t="str">
        <x:v>SIM-ASSIGN-0010</x:v>
      </x:c>
    </x:row>
    <x:row r="12">
      <x:c r="A12" s="1" t="str">
        <x:v>inCampus</x:v>
      </x:c>
      <x:c r="B12" s="1" t="str">
        <x:v>assignment</x:v>
      </x:c>
      <x:c r="C12" s="1" t="str">
        <x:v>仮想提出課題-011</x:v>
      </x:c>
      <x:c r="D12" s="1" t="str">
        <x:v>架空の課題本文です。実在の授業・人物・提出先を含みません。</x:v>
      </x:c>
      <x:c r="E12" s="4" t="n">
        <x:v>46277</x:v>
      </x:c>
      <x:c r="F12" s="7" t="n">
        <x:v>46279.62430555555</x:v>
      </x:c>
      <x:c r="G12" s="1" t="str">
        <x:v>2026/09/01 09:00
～
2026/09/14 23:59</x:v>
      </x:c>
      <x:c r="H12" s="1" t="str">
        <x:v>不可</x:v>
      </x:c>
      <x:c r="I12" s="1" t="str">
        <x:v>個人</x:v>
      </x:c>
      <x:c r="J12" t="str"/>
      <x:c r="K12" s="5" t="str">
        <x:v>https://portal.example.invalid/course/report/SIM-0011</x:v>
      </x:c>
      <x:c r="L12" s="1" t="n">
        <x:v>46273.958333333336</x:v>
      </x:c>
      <x:c r="M12" s="6" t="n">
        <x:v>46274</x:v>
      </x:c>
      <x:c r="N12" s="1" t="str">
        <x:v>{"source":"inCampus","type":"assignment","title":"仮想提出課題-011","body":"架空の課題本文です。実在の授業・人物・提出先を含みません。","startAt":"2026/09/01 09:00","dueAt":"2026/09/14 23:59","courseName":"サンプル情報設計","updateText":"・課題（仮想提出課題-011）が追加されました。","updateAction":"add","updateAt":"2026/09/01 09:00","pageUrl":"https://portal.example.invalid/course/report/SIM-0011","assignmentKey":"SIM-ASSIGN-0011"}</x:v>
      </x:c>
      <x:c r="O12" s="1" t="str">
        <x:v>未確認</x:v>
      </x:c>
      <x:c r="P12" s="3" t="str"/>
      <x:c r="Q12" s="1" t="str">
        <x:v>SIM-ASSIGN-0011</x:v>
      </x:c>
    </x:row>
    <x:row r="13">
      <x:c r="A13" s="1" t="str">
        <x:v>inCampus</x:v>
      </x:c>
      <x:c r="B13" s="1" t="str">
        <x:v>assignment</x:v>
      </x:c>
      <x:c r="C13" s="1" t="str">
        <x:v>仮想提出課題-012</x:v>
      </x:c>
      <x:c r="D13" s="1" t="str">
        <x:v>架空の課題本文です。実在の授業・人物・提出先を含みません。</x:v>
      </x:c>
      <x:c r="E13" t="n">
        <x:v>46278</x:v>
      </x:c>
      <x:c r="F13" t="n">
        <x:v>46280.62430555555</x:v>
      </x:c>
      <x:c r="G13" s="1" t="str">
        <x:v>2026/09/01 09:00
～
2026/09/15 23:59</x:v>
      </x:c>
      <x:c r="H13" t="str">
        <x:v>不可</x:v>
      </x:c>
      <x:c r="I13" t="str">
        <x:v>個人</x:v>
      </x:c>
      <x:c r="J13" t="str"/>
      <x:c r="K13" s="5" t="str">
        <x:v>https://portal.example.invalid/course/report/SIM-0012</x:v>
      </x:c>
      <x:c r="L13" s="1" t="n">
        <x:v>46273.958333333336</x:v>
      </x:c>
      <x:c r="M13" s="6" t="n">
        <x:v>46274</x:v>
      </x:c>
      <x:c r="N13" s="1" t="str">
        <x:v>{"source":"inCampus","type":"assignment","title":"仮想提出課題-012","body":"架空の課題本文です。実在の授業・人物・提出先を含みません。","startAt":"2026/09/01 09:00","dueAt":"2026/09/15 23:59","courseName":"架空データ解析","updateText":"・課題（仮想提出課題-012）が追加されました。","updateAction":"add","updateAt":"2026/09/01 09:00","pageUrl":"https://portal.example.invalid/course/report/SIM-0012","assignmentKey":"SIM-ASSIGN-0012"}</x:v>
      </x:c>
      <x:c r="O13" s="1" t="str">
        <x:v>完了</x:v>
      </x:c>
      <x:c r="P13" t="n">
        <x:v>46273.375</x:v>
      </x:c>
      <x:c r="Q13" s="1" t="str">
        <x:v>SIM-ASSIGN-0012</x:v>
      </x:c>
    </x:row>
    <x:row r="14">
      <x:c r="A14" s="1" t="str">
        <x:v>inCampus</x:v>
      </x:c>
      <x:c r="B14" s="1" t="str">
        <x:v>assignment</x:v>
      </x:c>
      <x:c r="C14" s="1" t="str">
        <x:v>仮想提出課題-013</x:v>
      </x:c>
      <x:c r="D14" t="str">
        <x:v>架空の課題本文です。実在の授業・人物・提出先を含みません。</x:v>
      </x:c>
      <x:c r="E14" t="n">
        <x:v>46279</x:v>
      </x:c>
      <x:c r="F14" t="n">
        <x:v>46281.62430555555</x:v>
      </x:c>
      <x:c r="G14" t="str">
        <x:v>2026/09/01 09:00
～
2026/09/16 23:59</x:v>
      </x:c>
      <x:c r="H14" t="str">
        <x:v>不可</x:v>
      </x:c>
      <x:c r="I14" t="str">
        <x:v>個人</x:v>
      </x:c>
      <x:c r="J14" t="str"/>
      <x:c r="K14" s="5" t="str">
        <x:v>https://portal.example.invalid/course/report/SIM-0013</x:v>
      </x:c>
      <x:c r="L14" s="1" t="n">
        <x:v>46273.958333333336</x:v>
      </x:c>
      <x:c r="M14" s="6" t="n">
        <x:v>46274</x:v>
      </x:c>
      <x:c r="N14" s="1" t="str">
        <x:v>{"source":"inCampus","type":"assignment","title":"仮想提出課題-013","body":"架空の課題本文です。実在の授業・人物・提出先を含みません。","startAt":"2026/09/01 09:00","dueAt":"2026/09/16 23:59","courseName":"仮想心理演習","updateText":"・課題（仮想提出課題-013）が追加されました。","updateAction":"add","updateAt":"2026/09/01 09:00","pageUrl":"https://portal.example.invalid/course/report/SIM-0013","assignmentKey":"SIM-ASSIGN-0013"}</x:v>
      </x:c>
      <x:c r="O14" s="1" t="str">
        <x:v>未確認</x:v>
      </x:c>
      <x:c r="P14" t="str"/>
      <x:c r="Q14" s="1" t="str">
        <x:v>SIM-ASSIGN-0013</x:v>
      </x:c>
    </x:row>
    <x:row r="15">
      <x:c r="A15" s="1" t="str">
        <x:v>inCampus</x:v>
      </x:c>
      <x:c r="B15" s="1" t="str">
        <x:v>assignment</x:v>
      </x:c>
      <x:c r="C15" s="1" t="str">
        <x:v>仮想提出課題-014</x:v>
      </x:c>
      <x:c r="D15" s="1" t="str">
        <x:v>架空の課題本文です。実在の授業・人物・提出先を含みません。</x:v>
      </x:c>
      <x:c r="E15" t="n">
        <x:v>46280</x:v>
      </x:c>
      <x:c r="F15" t="n">
        <x:v>46282.62430555555</x:v>
      </x:c>
      <x:c r="G15" s="1" t="str">
        <x:v>2026/09/01 09:00
～
2026/09/17 23:59</x:v>
      </x:c>
      <x:c r="H15" t="str">
        <x:v>不可</x:v>
      </x:c>
      <x:c r="I15" t="str">
        <x:v>個人</x:v>
      </x:c>
      <x:c r="J15" t="str"/>
      <x:c r="K15" s="5" t="str">
        <x:v>https://portal.example.invalid/course/report/SIM-0014</x:v>
      </x:c>
      <x:c r="L15" s="1" t="n">
        <x:v>46273.958333333336</x:v>
      </x:c>
      <x:c r="M15" s="6" t="n">
        <x:v>46274</x:v>
      </x:c>
      <x:c r="N15" s="1" t="str">
        <x:v>{"source":"inCampus","type":"assignment","title":"仮想提出課題-014","body":"架空の課題本文です。実在の授業・人物・提出先を含みません。","startAt":"2026/09/01 09:00","dueAt":"2026/09/17 23:59","courseName":"サンプル情報設計","updateText":"・課題（仮想提出課題-014）が追加されました。","updateAction":"add","updateAt":"2026/09/01 09:00","pageUrl":"https://portal.example.invalid/course/report/SIM-0014","assignmentKey":"SIM-ASSIGN-0014"}</x:v>
      </x:c>
      <x:c r="O15" s="1" t="str">
        <x:v>未確認</x:v>
      </x:c>
      <x:c r="P15" t="str"/>
      <x:c r="Q15" s="1" t="str">
        <x:v>SIM-ASSIGN-0014</x:v>
      </x:c>
    </x:row>
    <x:row r="16">
      <x:c r="A16" s="1" t="str">
        <x:v>inCampus</x:v>
      </x:c>
      <x:c r="B16" s="1" t="str">
        <x:v>assignment</x:v>
      </x:c>
      <x:c r="C16" s="1" t="str">
        <x:v>仮想提出課題-015</x:v>
      </x:c>
      <x:c r="D16" s="1" t="str">
        <x:v>架空の課題本文です。実在の授業・人物・提出先を含みません。</x:v>
      </x:c>
      <x:c r="E16" s="4" t="n">
        <x:v>46281</x:v>
      </x:c>
      <x:c r="F16" s="7" t="n">
        <x:v>46283.62430555555</x:v>
      </x:c>
      <x:c r="G16" s="1" t="str">
        <x:v>2026/09/01 09:00
～
2026/09/18 23:59</x:v>
      </x:c>
      <x:c r="H16" s="1" t="str">
        <x:v>不可</x:v>
      </x:c>
      <x:c r="I16" s="1" t="str">
        <x:v>個人</x:v>
      </x:c>
      <x:c r="J16" t="str"/>
      <x:c r="K16" s="5" t="str">
        <x:v>https://portal.example.invalid/course/report/SIM-0015</x:v>
      </x:c>
      <x:c r="L16" s="1" t="n">
        <x:v>46273.958333333336</x:v>
      </x:c>
      <x:c r="M16" s="6" t="n">
        <x:v>46274</x:v>
      </x:c>
      <x:c r="N16" s="1" t="str">
        <x:v>{"source":"inCampus","type":"assignment","title":"仮想提出課題-015","body":"架空の課題本文です。実在の授業・人物・提出先を含みません。","startAt":"2026/09/01 09:00","dueAt":"2026/09/18 23:59","courseName":"架空データ解析","updateText":"・課題（仮想提出課題-015）が追加されました。","updateAction":"add","updateAt":"2026/09/01 09:00","pageUrl":"https://portal.example.invalid/course/report/SIM-0015","assignmentKey":"SIM-ASSIGN-0015"}</x:v>
      </x:c>
      <x:c r="O16" s="1" t="str">
        <x:v>未確認</x:v>
      </x:c>
      <x:c r="P16" s="3" t="str"/>
      <x:c r="Q16" s="1" t="str">
        <x:v>SIM-ASSIGN-0015</x:v>
      </x:c>
    </x:row>
    <x:row r="17">
      <x:c r="A17" s="1" t="str">
        <x:v>inCampus</x:v>
      </x:c>
      <x:c r="B17" s="1" t="str">
        <x:v>assignment</x:v>
      </x:c>
      <x:c r="C17" s="1" t="str">
        <x:v>仮想提出課題-016</x:v>
      </x:c>
      <x:c r="D17" s="1" t="str">
        <x:v>架空の課題本文です。実在の授業・人物・提出先を含みません。</x:v>
      </x:c>
      <x:c r="E17" s="4" t="n">
        <x:v>46282</x:v>
      </x:c>
      <x:c r="F17" s="7" t="n">
        <x:v>46284.62430555555</x:v>
      </x:c>
      <x:c r="G17" s="1" t="str">
        <x:v>2026/09/01 09:00
～
2026/09/19 23:59</x:v>
      </x:c>
      <x:c r="H17" s="1" t="str">
        <x:v>不可</x:v>
      </x:c>
      <x:c r="I17" s="1" t="str">
        <x:v>個人</x:v>
      </x:c>
      <x:c r="J17" t="str"/>
      <x:c r="K17" s="5" t="str">
        <x:v>https://portal.example.invalid/course/report/SIM-0016</x:v>
      </x:c>
      <x:c r="L17" s="1" t="n">
        <x:v>46273.958333333336</x:v>
      </x:c>
      <x:c r="M17" s="6" t="n">
        <x:v>46274</x:v>
      </x:c>
      <x:c r="N17" s="1" t="str">
        <x:v>{"source":"inCampus","type":"assignment","title":"仮想提出課題-016","body":"架空の課題本文です。実在の授業・人物・提出先を含みません。","startAt":"2026/09/01 09:00","dueAt":"2026/09/19 23:59","courseName":"仮想心理演習","updateText":"・課題（仮想提出課題-016）が追加されました。","updateAction":"add","updateAt":"2026/09/01 09:00","pageUrl":"https://portal.example.invalid/course/report/SIM-0016","assignmentKey":"SIM-ASSIGN-0016"}</x:v>
      </x:c>
      <x:c r="O17" s="1" t="str">
        <x:v>完了</x:v>
      </x:c>
      <x:c r="P17" s="3" t="n">
        <x:v>46273.375</x:v>
      </x:c>
      <x:c r="Q17" s="1" t="str">
        <x:v>SIM-ASSIGN-0016</x:v>
      </x:c>
    </x:row>
    <x:row r="18">
      <x:c r="A18" s="1" t="str">
        <x:v>inCampus</x:v>
      </x:c>
      <x:c r="B18" s="1" t="str">
        <x:v>assignment</x:v>
      </x:c>
      <x:c r="C18" s="1" t="str">
        <x:v>仮想提出課題-017</x:v>
      </x:c>
      <x:c r="D18" s="1" t="str">
        <x:v>架空の課題本文です。実在の授業・人物・提出先を含みません。</x:v>
      </x:c>
      <x:c r="E18" t="n">
        <x:v>46283</x:v>
      </x:c>
      <x:c r="F18" t="n">
        <x:v>46285.62430555555</x:v>
      </x:c>
      <x:c r="G18" s="1" t="str">
        <x:v>2026/09/01 09:00
～
2026/09/20 23:59</x:v>
      </x:c>
      <x:c r="H18" t="str">
        <x:v>不可</x:v>
      </x:c>
      <x:c r="I18" t="str">
        <x:v>個人</x:v>
      </x:c>
      <x:c r="J18" t="str"/>
      <x:c r="K18" s="5" t="str">
        <x:v>https://portal.example.invalid/course/report/SIM-0017</x:v>
      </x:c>
      <x:c r="L18" s="1" t="n">
        <x:v>46273.958333333336</x:v>
      </x:c>
      <x:c r="M18" s="6" t="n">
        <x:v>46274</x:v>
      </x:c>
      <x:c r="N18" s="1" t="str">
        <x:v>{"source":"inCampus","type":"assignment","title":"仮想提出課題-017","body":"架空の課題本文です。実在の授業・人物・提出先を含みません。","startAt":"2026/09/01 09:00","dueAt":"2026/09/20 23:59","courseName":"サンプル情報設計","updateText":"・課題（仮想提出課題-017）が追加されました。","updateAction":"add","updateAt":"2026/09/01 09:00","pageUrl":"https://portal.example.invalid/course/report/SIM-0017","assignmentKey":"SIM-ASSIGN-0017"}</x:v>
      </x:c>
      <x:c r="O18" s="1" t="str">
        <x:v>未確認</x:v>
      </x:c>
      <x:c r="P18" t="str"/>
      <x:c r="Q18" s="1" t="str">
        <x:v>SIM-ASSIGN-0017</x:v>
      </x:c>
    </x:row>
    <x:row r="19">
      <x:c r="A19" s="1" t="str">
        <x:v>inCampus</x:v>
      </x:c>
      <x:c r="B19" s="1" t="str">
        <x:v>assignment</x:v>
      </x:c>
      <x:c r="C19" s="1" t="str">
        <x:v>仮想提出課題-018</x:v>
      </x:c>
      <x:c r="D19" s="1" t="str">
        <x:v>架空の課題本文です。実在の授業・人物・提出先を含みません。</x:v>
      </x:c>
      <x:c r="E19" t="n">
        <x:v>46284</x:v>
      </x:c>
      <x:c r="F19" t="n">
        <x:v>46268.62430555555</x:v>
      </x:c>
      <x:c r="G19" s="1" t="str">
        <x:v>2026/09/01 09:00
～
2026/09/03 23:59</x:v>
      </x:c>
      <x:c r="H19" t="str">
        <x:v>不可</x:v>
      </x:c>
      <x:c r="I19" t="str">
        <x:v>個人</x:v>
      </x:c>
      <x:c r="J19" t="str"/>
      <x:c r="K19" s="5" t="str">
        <x:v>https://portal.example.invalid/course/report/SIM-0018</x:v>
      </x:c>
      <x:c r="L19" s="1" t="n">
        <x:v>46273.958333333336</x:v>
      </x:c>
      <x:c r="M19" s="6" t="n">
        <x:v>46274</x:v>
      </x:c>
      <x:c r="N19" s="1" t="str">
        <x:v>{"source":"inCampus","type":"assignment","title":"仮想提出課題-018","body":"架空の課題本文です。実在の授業・人物・提出先を含みません。","startAt":"2026/09/01 09:00","dueAt":"2026/09/03 23:59","courseName":"架空データ解析","updateText":"・課題（仮想提出課題-018）が追加されました。","updateAction":"add","updateAt":"2026/09/01 09:00","pageUrl":"https://portal.example.invalid/course/report/SIM-0018","assignmentKey":"SIM-ASSIGN-0018"}</x:v>
      </x:c>
      <x:c r="O19" s="1" t="str">
        <x:v>未確認</x:v>
      </x:c>
      <x:c r="P19" t="str"/>
      <x:c r="Q19" s="1" t="str">
        <x:v>SIM-ASSIGN-0018</x:v>
      </x:c>
    </x:row>
    <x:row r="20">
      <x:c r="A20" s="1" t="str">
        <x:v>inCampus</x:v>
      </x:c>
      <x:c r="B20" s="1" t="str">
        <x:v>assignment</x:v>
      </x:c>
      <x:c r="C20" s="1" t="str">
        <x:v>仮想提出課題-019</x:v>
      </x:c>
      <x:c r="D20" s="1" t="str">
        <x:v>架空の課題本文です。実在の授業・人物・提出先を含みません。</x:v>
      </x:c>
      <x:c r="E20" s="4" t="n">
        <x:v>46285</x:v>
      </x:c>
      <x:c r="F20" s="4" t="n">
        <x:v>46269.62430555555</x:v>
      </x:c>
      <x:c r="G20" s="1" t="str">
        <x:v>2026/09/01 09:00
～
2026/09/04 23:59</x:v>
      </x:c>
      <x:c r="H20" s="1" t="str">
        <x:v>不可</x:v>
      </x:c>
      <x:c r="I20" s="1" t="str">
        <x:v>個人</x:v>
      </x:c>
      <x:c r="J20" t="str"/>
      <x:c r="K20" s="5" t="str">
        <x:v>https://portal.example.invalid/course/report/SIM-0019</x:v>
      </x:c>
      <x:c r="L20" s="1" t="n">
        <x:v>46273.958333333336</x:v>
      </x:c>
      <x:c r="M20" s="6" t="n">
        <x:v>46274</x:v>
      </x:c>
      <x:c r="N20" s="1" t="str">
        <x:v>{"source":"inCampus","type":"assignment","title":"仮想提出課題-019","body":"架空の課題本文です。実在の授業・人物・提出先を含みません。","startAt":"2026/09/01 09:00","dueAt":"2026/09/04 23:59","courseName":"仮想心理演習","updateText":"・課題（仮想提出課題-019）が追加されました。","updateAction":"add","updateAt":"2026/09/01 09:00","pageUrl":"https://portal.example.invalid/course/report/SIM-0019","assignmentKey":"SIM-ASSIGN-0019"}</x:v>
      </x:c>
      <x:c r="O20" s="1" t="str">
        <x:v>未確認</x:v>
      </x:c>
      <x:c r="P20" t="str"/>
      <x:c r="Q20" s="1" t="str">
        <x:v>SIM-ASSIGN-0019</x:v>
      </x:c>
    </x:row>
  </x:sheetData>
  <x:hyperlinks>
    <x:hyperlink xmlns:r="http://schemas.openxmlformats.org/officeDocument/2006/relationships" ref="K2" r:id="Rdfd294ca9a424e16"/>
    <x:hyperlink xmlns:r="http://schemas.openxmlformats.org/officeDocument/2006/relationships" ref="K3" r:id="R340bf5841d55437c"/>
    <x:hyperlink xmlns:r="http://schemas.openxmlformats.org/officeDocument/2006/relationships" ref="K4" r:id="R2ca7614b65e443b5"/>
    <x:hyperlink xmlns:r="http://schemas.openxmlformats.org/officeDocument/2006/relationships" ref="K5" r:id="R4814719e26594bff"/>
    <x:hyperlink xmlns:r="http://schemas.openxmlformats.org/officeDocument/2006/relationships" ref="K6" r:id="R7f90c33a96a64c0b"/>
    <x:hyperlink xmlns:r="http://schemas.openxmlformats.org/officeDocument/2006/relationships" ref="K7" r:id="Re9222a67b6ec4e28"/>
    <x:hyperlink xmlns:r="http://schemas.openxmlformats.org/officeDocument/2006/relationships" ref="K8" r:id="Re39f1c6c38a8415c"/>
    <x:hyperlink xmlns:r="http://schemas.openxmlformats.org/officeDocument/2006/relationships" ref="K9" r:id="Rad435e43476d4f5b"/>
    <x:hyperlink xmlns:r="http://schemas.openxmlformats.org/officeDocument/2006/relationships" ref="K10" r:id="R630e43bd7a4147f4"/>
    <x:hyperlink xmlns:r="http://schemas.openxmlformats.org/officeDocument/2006/relationships" ref="K11" r:id="R5acf80ecf6244372"/>
    <x:hyperlink xmlns:r="http://schemas.openxmlformats.org/officeDocument/2006/relationships" ref="K12" r:id="Reaca0c54347d4909"/>
    <x:hyperlink xmlns:r="http://schemas.openxmlformats.org/officeDocument/2006/relationships" ref="K13" r:id="R21b7b830416d46ae"/>
    <x:hyperlink xmlns:r="http://schemas.openxmlformats.org/officeDocument/2006/relationships" ref="K14" r:id="Rd4fca8a04d7147ef"/>
    <x:hyperlink xmlns:r="http://schemas.openxmlformats.org/officeDocument/2006/relationships" ref="K15" r:id="R8b1999e060914ca1"/>
    <x:hyperlink xmlns:r="http://schemas.openxmlformats.org/officeDocument/2006/relationships" ref="K16" r:id="R720116f7c4fc4ef3"/>
    <x:hyperlink xmlns:r="http://schemas.openxmlformats.org/officeDocument/2006/relationships" ref="K17" r:id="Rb92cf5e94a5c44bd"/>
    <x:hyperlink xmlns:r="http://schemas.openxmlformats.org/officeDocument/2006/relationships" ref="K18" r:id="Rc5cfb0ba55da4c1f"/>
    <x:hyperlink xmlns:r="http://schemas.openxmlformats.org/officeDocument/2006/relationships" ref="K19" r:id="Rd5cd1e4a3ed84914"/>
    <x:hyperlink xmlns:r="http://schemas.openxmlformats.org/officeDocument/2006/relationships" ref="K20" r:id="R60584c10496145d4"/>
  </x:hyperlink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ColWidth="12.630000114440918" defaultRowHeight="15.75"/>
  <x:cols>
    <x:col min="1" max="1" width="8.630000114440918" customWidth="1"/>
    <x:col min="2" max="2" width="15.380000114440918" customWidth="1"/>
    <x:col min="3" max="3" width="14.25" customWidth="1"/>
    <x:col min="4" max="4" width="25.3799991607666" customWidth="1"/>
    <x:col min="5" max="5" width="55.25" customWidth="1"/>
    <x:col min="6" max="6" width="8.630000114440918" customWidth="1"/>
    <x:col min="7" max="7" width="12.380000114440918" customWidth="1"/>
    <x:col min="8" max="8" width="39" customWidth="1"/>
    <x:col min="9" max="9" width="54.25" customWidth="1"/>
    <x:col min="10" max="10" width="8.630000114440918" customWidth="1"/>
    <x:col min="11" max="11" width="85.5" customWidth="1"/>
    <x:col min="12" max="12" width="204.75" customWidth="1"/>
    <x:col min="13" max="14" width="3.880000114440918" customWidth="1"/>
  </x:cols>
  <x:sheetData>
    <x:row r="1">
      <x:c r="A1" s="1" t="str">
        <x:v>保存日時</x:v>
      </x:c>
      <x:c r="B1" s="1" t="str">
        <x:v>メッセージID</x:v>
      </x:c>
      <x:c r="C1" s="1" t="str">
        <x:v>通知元</x:v>
      </x:c>
      <x:c r="D1" s="1" t="str">
        <x:v>授業名</x:v>
      </x:c>
      <x:c r="E1" s="1" t="str">
        <x:v>課題・通知タイトル</x:v>
      </x:c>
      <x:c r="F1" s="1" t="str">
        <x:v>期限</x:v>
      </x:c>
      <x:c r="G1" s="1" t="str">
        <x:v>期限状態</x:v>
      </x:c>
      <x:c r="H1" s="1" t="str">
        <x:v>メール件名</x:v>
      </x:c>
      <x:c r="I1" s="1" t="str">
        <x:v>送信者</x:v>
      </x:c>
      <x:c r="J1" s="1" t="str">
        <x:v>受信日時</x:v>
      </x:c>
      <x:c r="K1" s="1" t="str">
        <x:v>Gmailリンク</x:v>
      </x:c>
      <x:c r="L1" s="1" t="str">
        <x:v>本文</x:v>
      </x:c>
      <x:c r="M1" s="1" t="str">
        <x:v>確認状態</x:v>
      </x:c>
      <x:c r="N1" s="1" t="str">
        <x:v>完了日時</x:v>
      </x:c>
      <x:c r="O1" s="1" t="str">
        <x:v>更新レコード状態</x:v>
      </x:c>
      <x:c r="P1" s="1" t="str">
        <x:v>適用済み提出記録</x:v>
      </x:c>
    </x:row>
    <x:row r="2">
      <x:c r="A2" s="3" t="n">
        <x:v>46274</x:v>
      </x:c>
      <x:c r="B2" s="1" t="str">
        <x:v>SIM-CLASS-001</x:v>
      </x:c>
      <x:c r="C2" s="1" t="str">
        <x:v>Google Classroom</x:v>
      </x:c>
      <x:c r="D2" s="1" t="str">
        <x:v>仮想心理演習</x:v>
      </x:c>
      <x:c r="E2" s="1" t="str">
        <x:v>仮想課題-001</x:v>
      </x:c>
      <x:c r="F2" s="3" t="n">
        <x:v>46269.62430555555</x:v>
      </x:c>
      <x:c r="G2" s="1" t="str">
        <x:v>期限検出</x:v>
      </x:c>
      <x:c r="H2" s="1" t="str">
        <x:v>新しい課題: 仮想課題-001</x:v>
      </x:c>
      <x:c r="I2" s="1" t="str">
        <x:v>架空担当B &lt;fixture-001@example.invalid&gt;</x:v>
      </x:c>
      <x:c r="J2" s="3" t="n">
        <x:v>46274.041666666664</x:v>
      </x:c>
      <x:c r="K2" s="5" t="str">
        <x:v>https://mail.example.invalid/thread/SIM-CLASS-001</x:v>
      </x:c>
      <x:c r="L2" s="1" t="str">
        <x:v>仮想心理演習
架空担当B が新しい課題を投稿しました
仮想課題-001
提出期限：2026/09/04 23:59
詳細：https://courses.example.invalid/demo/SIM-CLASS-001</x:v>
      </x:c>
      <x:c r="M2" s="1" t="str">
        <x:v>未確認</x:v>
      </x:c>
      <x:c r="N2" t="str"/>
      <x:c r="O2" t="str"/>
      <x:c r="P2" t="str"/>
    </x:row>
    <x:row r="3">
      <x:c r="A3" s="3" t="n">
        <x:v>46274.041666666664</x:v>
      </x:c>
      <x:c r="B3" s="1" t="str">
        <x:v>SIM-CLASS-002</x:v>
      </x:c>
      <x:c r="C3" s="1" t="str">
        <x:v>Google Classroom</x:v>
      </x:c>
      <x:c r="D3" s="1" t="str">
        <x:v>サンプル情報設計</x:v>
      </x:c>
      <x:c r="E3" s="1" t="str">
        <x:v>仮想課題-002</x:v>
      </x:c>
      <x:c r="F3" s="3" t="n">
        <x:v>46270.62430555555</x:v>
      </x:c>
      <x:c r="G3" s="1" t="str">
        <x:v>期限検出</x:v>
      </x:c>
      <x:c r="H3" s="1" t="str">
        <x:v>新しい課題: 仮想課題-002</x:v>
      </x:c>
      <x:c r="I3" s="1" t="str">
        <x:v>架空担当C &lt;fixture-002@example.invalid&gt;</x:v>
      </x:c>
      <x:c r="J3" s="3" t="n">
        <x:v>46274.083333333336</x:v>
      </x:c>
      <x:c r="K3" s="5" t="str">
        <x:v>https://mail.example.invalid/thread/SIM-CLASS-002</x:v>
      </x:c>
      <x:c r="L3" s="1" t="str">
        <x:v>サンプル情報設計
架空担当C が新しい課題を投稿しました
仮想課題-002
提出期限：2026/09/05 23:59
詳細：https://courses.example.invalid/demo/SIM-CLASS-002</x:v>
      </x:c>
      <x:c r="M3" s="1" t="str">
        <x:v>未確認</x:v>
      </x:c>
      <x:c r="N3" t="str"/>
      <x:c r="O3" t="str"/>
      <x:c r="P3" t="str"/>
    </x:row>
    <x:row r="4">
      <x:c r="A4" s="3" t="n">
        <x:v>46274.083333333336</x:v>
      </x:c>
      <x:c r="B4" s="1" t="str">
        <x:v>SIM-CLASS-003</x:v>
      </x:c>
      <x:c r="C4" s="1" t="str">
        <x:v>Google Classroom</x:v>
      </x:c>
      <x:c r="D4" s="1" t="str">
        <x:v>架空データ解析</x:v>
      </x:c>
      <x:c r="E4" s="1" t="str">
        <x:v>仮想課題-003</x:v>
      </x:c>
      <x:c r="F4" s="3" t="n">
        <x:v>46271.62430555555</x:v>
      </x:c>
      <x:c r="G4" s="1" t="str">
        <x:v>期限検出</x:v>
      </x:c>
      <x:c r="H4" s="1" t="str">
        <x:v>新しい課題: 仮想課題-003</x:v>
      </x:c>
      <x:c r="I4" s="1" t="str">
        <x:v>架空担当A &lt;fixture-003@example.invalid&gt;</x:v>
      </x:c>
      <x:c r="J4" s="3" t="n">
        <x:v>46274.125</x:v>
      </x:c>
      <x:c r="K4" s="5" t="str">
        <x:v>https://mail.example.invalid/thread/SIM-CLASS-003</x:v>
      </x:c>
      <x:c r="L4" s="1" t="str">
        <x:v>架空データ解析
架空担当A が新しい課題を投稿しました
仮想課題-003
提出期限：2026/09/06 23:59
詳細：https://courses.example.invalid/demo/SIM-CLASS-003</x:v>
      </x:c>
      <x:c r="M4" s="1" t="str">
        <x:v>未確認</x:v>
      </x:c>
      <x:c r="N4" t="str"/>
      <x:c r="O4" t="str"/>
      <x:c r="P4" t="str"/>
    </x:row>
    <x:row r="5">
      <x:c r="A5" s="3" t="n">
        <x:v>46274.125</x:v>
      </x:c>
      <x:c r="B5" s="1" t="str">
        <x:v>SIM-CLASS-004</x:v>
      </x:c>
      <x:c r="C5" s="1" t="str">
        <x:v>Google Classroom</x:v>
      </x:c>
      <x:c r="D5" s="1" t="str">
        <x:v>仮想心理演習</x:v>
      </x:c>
      <x:c r="E5" s="1" t="str">
        <x:v>仮想課題-004</x:v>
      </x:c>
      <x:c r="F5" s="3" t="n">
        <x:v>46272.62430555555</x:v>
      </x:c>
      <x:c r="G5" s="1" t="str">
        <x:v>期限検出</x:v>
      </x:c>
      <x:c r="H5" s="1" t="str">
        <x:v>新しい課題: 仮想課題-004</x:v>
      </x:c>
      <x:c r="I5" s="1" t="str">
        <x:v>架空担当B &lt;fixture-004@example.invalid&gt;</x:v>
      </x:c>
      <x:c r="J5" s="3" t="n">
        <x:v>46274.166666666664</x:v>
      </x:c>
      <x:c r="K5" s="5" t="str">
        <x:v>https://mail.example.invalid/thread/SIM-CLASS-004</x:v>
      </x:c>
      <x:c r="L5" s="1" t="str">
        <x:v>仮想心理演習
架空担当B が新しい課題を投稿しました
仮想課題-004
提出期限：2026/09/07 23:59
詳細：https://courses.example.invalid/demo/SIM-CLASS-004</x:v>
      </x:c>
      <x:c r="M5" s="1" t="str">
        <x:v>未確認</x:v>
      </x:c>
      <x:c r="N5" t="str"/>
      <x:c r="O5" t="str"/>
      <x:c r="P5" t="str"/>
    </x:row>
    <x:row r="6">
      <x:c r="A6" s="3" t="n">
        <x:v>46274.166666666664</x:v>
      </x:c>
      <x:c r="B6" s="1" t="str">
        <x:v>SIM-CLASS-005</x:v>
      </x:c>
      <x:c r="C6" s="1" t="str">
        <x:v>Google Classroom</x:v>
      </x:c>
      <x:c r="D6" s="1" t="str">
        <x:v>サンプル情報設計</x:v>
      </x:c>
      <x:c r="E6" s="1" t="str">
        <x:v>仮想課題-005</x:v>
      </x:c>
      <x:c r="F6" s="3" t="n">
        <x:v>46273.62430555555</x:v>
      </x:c>
      <x:c r="G6" s="1" t="str">
        <x:v>期限検出</x:v>
      </x:c>
      <x:c r="H6" s="1" t="str">
        <x:v>新しい課題: 仮想課題-005</x:v>
      </x:c>
      <x:c r="I6" s="1" t="str">
        <x:v>架空担当C &lt;fixture-005@example.invalid&gt;</x:v>
      </x:c>
      <x:c r="J6" s="3" t="n">
        <x:v>46274.208333333336</x:v>
      </x:c>
      <x:c r="K6" s="5" t="str">
        <x:v>https://mail.example.invalid/thread/SIM-CLASS-005</x:v>
      </x:c>
      <x:c r="L6" s="1" t="str">
        <x:v>サンプル情報設計
架空担当C が新しい課題を投稿しました
仮想課題-005
提出期限：2026/09/08 23:59
詳細：https://courses.example.invalid/demo/SIM-CLASS-005</x:v>
      </x:c>
      <x:c r="M6" s="1" t="str">
        <x:v>未確認</x:v>
      </x:c>
      <x:c r="N6" t="str"/>
      <x:c r="O6" t="str"/>
      <x:c r="P6" t="str"/>
    </x:row>
    <x:row r="7">
      <x:c r="A7" s="3" t="n">
        <x:v>46274.208333333336</x:v>
      </x:c>
      <x:c r="B7" s="1" t="str">
        <x:v>SIM-CLASS-006</x:v>
      </x:c>
      <x:c r="C7" s="1" t="str">
        <x:v>Google Classroom</x:v>
      </x:c>
      <x:c r="D7" s="1" t="str">
        <x:v>架空データ解析</x:v>
      </x:c>
      <x:c r="E7" s="1" t="str">
        <x:v>仮想課題-006</x:v>
      </x:c>
      <x:c r="F7" s="3" t="n">
        <x:v>46274.62430555555</x:v>
      </x:c>
      <x:c r="G7" s="1" t="str">
        <x:v>期限検出</x:v>
      </x:c>
      <x:c r="H7" s="1" t="str">
        <x:v>新しい課題: 仮想課題-006</x:v>
      </x:c>
      <x:c r="I7" s="1" t="str">
        <x:v>架空担当A &lt;fixture-006@example.invalid&gt;</x:v>
      </x:c>
      <x:c r="J7" s="3" t="n">
        <x:v>46274.25</x:v>
      </x:c>
      <x:c r="K7" s="5" t="str">
        <x:v>https://mail.example.invalid/thread/SIM-CLASS-006</x:v>
      </x:c>
      <x:c r="L7" s="1" t="str">
        <x:v>架空データ解析
架空担当A が新しい課題を投稿しました
仮想課題-006
提出期限：2026/09/09 23:59
詳細：https://courses.example.invalid/demo/SIM-CLASS-006</x:v>
      </x:c>
      <x:c r="M7" s="1" t="str">
        <x:v>未確認</x:v>
      </x:c>
      <x:c r="N7" t="str"/>
      <x:c r="O7" t="str"/>
      <x:c r="P7" t="str"/>
    </x:row>
    <x:row r="8">
      <x:c r="A8" s="3" t="n">
        <x:v>46274.25</x:v>
      </x:c>
      <x:c r="B8" s="1" t="str">
        <x:v>SIM-CLASS-007</x:v>
      </x:c>
      <x:c r="C8" s="1" t="str">
        <x:v>Google Classroom</x:v>
      </x:c>
      <x:c r="D8" s="1" t="str">
        <x:v>仮想心理演習</x:v>
      </x:c>
      <x:c r="E8" s="1" t="str">
        <x:v>仮想課題-007</x:v>
      </x:c>
      <x:c r="F8" s="3" t="n">
        <x:v>46275.62430555555</x:v>
      </x:c>
      <x:c r="G8" s="1" t="str">
        <x:v>期限検出</x:v>
      </x:c>
      <x:c r="H8" s="1" t="str">
        <x:v>新しい課題: 仮想課題-007</x:v>
      </x:c>
      <x:c r="I8" s="1" t="str">
        <x:v>架空担当B &lt;fixture-007@example.invalid&gt;</x:v>
      </x:c>
      <x:c r="J8" s="3" t="n">
        <x:v>46274.291666666664</x:v>
      </x:c>
      <x:c r="K8" s="5" t="str">
        <x:v>https://mail.example.invalid/thread/SIM-CLASS-007</x:v>
      </x:c>
      <x:c r="L8" s="1" t="str">
        <x:v>仮想心理演習
架空担当B が新しい課題を投稿しました
仮想課題-007
提出期限：2026/09/10 23:59
詳細：https://courses.example.invalid/demo/SIM-CLASS-007</x:v>
      </x:c>
      <x:c r="M8" s="1" t="str">
        <x:v>未確認</x:v>
      </x:c>
      <x:c r="N8" t="str"/>
      <x:c r="O8" t="str"/>
      <x:c r="P8" t="str"/>
    </x:row>
    <x:row r="9">
      <x:c r="A9" s="3" t="n">
        <x:v>46274.291666666664</x:v>
      </x:c>
      <x:c r="B9" s="1" t="str">
        <x:v>SIM-CLASS-008</x:v>
      </x:c>
      <x:c r="C9" s="1" t="str">
        <x:v>Google Classroom</x:v>
      </x:c>
      <x:c r="D9" s="1" t="str">
        <x:v>サンプル情報設計</x:v>
      </x:c>
      <x:c r="E9" s="1" t="str">
        <x:v>仮想課題-008</x:v>
      </x:c>
      <x:c r="F9" s="3" t="n">
        <x:v>46276.62430555555</x:v>
      </x:c>
      <x:c r="G9" s="1" t="str">
        <x:v>期限検出</x:v>
      </x:c>
      <x:c r="H9" s="1" t="str">
        <x:v>新しい課題: 仮想課題-008</x:v>
      </x:c>
      <x:c r="I9" s="1" t="str">
        <x:v>架空担当C &lt;fixture-008@example.invalid&gt;</x:v>
      </x:c>
      <x:c r="J9" s="3" t="n">
        <x:v>46274</x:v>
      </x:c>
      <x:c r="K9" s="5" t="str">
        <x:v>https://mail.example.invalid/thread/SIM-CLASS-008</x:v>
      </x:c>
      <x:c r="L9" s="1" t="str">
        <x:v>サンプル情報設計
架空担当C が新しい課題を投稿しました
仮想課題-008
提出期限：2026/09/11 23:59
詳細：https://courses.example.invalid/demo/SIM-CLASS-008</x:v>
      </x:c>
      <x:c r="M9" s="1" t="str">
        <x:v>未確認</x:v>
      </x:c>
      <x:c r="N9" t="str"/>
      <x:c r="O9" t="str"/>
      <x:c r="P9" t="str"/>
    </x:row>
    <x:row r="10">
      <x:c r="A10" s="3" t="n">
        <x:v>46273.958333333336</x:v>
      </x:c>
      <x:c r="B10" s="1" t="str">
        <x:v>SIM-CLASS-009</x:v>
      </x:c>
      <x:c r="C10" s="1" t="str">
        <x:v>Google Classroom</x:v>
      </x:c>
      <x:c r="D10" s="1" t="str">
        <x:v>架空データ解析</x:v>
      </x:c>
      <x:c r="E10" s="1" t="str">
        <x:v>仮想課題-009</x:v>
      </x:c>
      <x:c r="F10" s="3" t="n">
        <x:v>46277.62430555555</x:v>
      </x:c>
      <x:c r="G10" s="1" t="str">
        <x:v>期限検出</x:v>
      </x:c>
      <x:c r="H10" s="1" t="str">
        <x:v>新しい課題: 仮想課題-009</x:v>
      </x:c>
      <x:c r="I10" s="1" t="str">
        <x:v>架空担当A &lt;fixture-009@example.invalid&gt;</x:v>
      </x:c>
      <x:c r="J10" s="3" t="n">
        <x:v>46274.041666666664</x:v>
      </x:c>
      <x:c r="K10" s="5" t="str">
        <x:v>https://mail.example.invalid/thread/SIM-CLASS-009</x:v>
      </x:c>
      <x:c r="L10" s="1" t="str">
        <x:v>架空データ解析
架空担当A が新しい課題を投稿しました
仮想課題-009
提出期限：2026/09/12 23:59
詳細：https://courses.example.invalid/demo/SIM-CLASS-009</x:v>
      </x:c>
      <x:c r="M10" s="1" t="str">
        <x:v>未確認</x:v>
      </x:c>
      <x:c r="N10" t="str"/>
      <x:c r="O10" t="str"/>
      <x:c r="P10" t="str"/>
    </x:row>
    <x:row r="11">
      <x:c r="A11" s="3" t="n">
        <x:v>46274</x:v>
      </x:c>
      <x:c r="B11" s="1" t="str">
        <x:v>SIM-CLASS-010</x:v>
      </x:c>
      <x:c r="C11" s="1" t="str">
        <x:v>Google Classroom</x:v>
      </x:c>
      <x:c r="D11" s="1" t="str">
        <x:v>仮想心理演習</x:v>
      </x:c>
      <x:c r="E11" s="1" t="str">
        <x:v>仮想課題-010</x:v>
      </x:c>
      <x:c r="F11" s="3" t="n">
        <x:v>46278.62430555555</x:v>
      </x:c>
      <x:c r="G11" s="1" t="str">
        <x:v>期限検出</x:v>
      </x:c>
      <x:c r="H11" s="1" t="str">
        <x:v>新しい課題: 仮想課題-010</x:v>
      </x:c>
      <x:c r="I11" s="1" t="str">
        <x:v>架空担当B &lt;fixture-010@example.invalid&gt;</x:v>
      </x:c>
      <x:c r="J11" s="3" t="n">
        <x:v>46274.083333333336</x:v>
      </x:c>
      <x:c r="K11" s="5" t="str">
        <x:v>https://mail.example.invalid/thread/SIM-CLASS-010</x:v>
      </x:c>
      <x:c r="L11" s="1" t="str">
        <x:v>仮想心理演習
架空担当B が新しい課題を投稿しました
仮想課題-010
提出期限：2026/09/13 23:59
詳細：https://courses.example.invalid/demo/SIM-CLASS-010</x:v>
      </x:c>
      <x:c r="M11" s="1" t="str">
        <x:v>未確認</x:v>
      </x:c>
      <x:c r="N11" t="str"/>
      <x:c r="O11" t="str"/>
      <x:c r="P11" t="str"/>
    </x:row>
    <x:row r="12">
      <x:c r="A12" s="3" t="n">
        <x:v>46274.041666666664</x:v>
      </x:c>
      <x:c r="B12" s="1" t="str">
        <x:v>SIM-CLASS-011</x:v>
      </x:c>
      <x:c r="C12" s="1" t="str">
        <x:v>Google Classroom</x:v>
      </x:c>
      <x:c r="D12" s="1" t="str">
        <x:v>サンプル情報設計</x:v>
      </x:c>
      <x:c r="E12" s="1" t="str">
        <x:v>仮想お知らせ-011</x:v>
      </x:c>
      <x:c r="F12" s="3" t="str"/>
      <x:c r="G12" s="1" t="str">
        <x:v>期限未検出・要確認</x:v>
      </x:c>
      <x:c r="H12" s="1" t="str">
        <x:v>新しいお知らせ: 仮想お知らせ-011</x:v>
      </x:c>
      <x:c r="I12" s="1" t="str">
        <x:v>架空担当C &lt;fixture-011@example.invalid&gt;</x:v>
      </x:c>
      <x:c r="J12" s="3" t="n">
        <x:v>46274.125</x:v>
      </x:c>
      <x:c r="K12" s="5" t="str">
        <x:v>https://mail.example.invalid/thread/SIM-CLASS-011</x:v>
      </x:c>
      <x:c r="L12" s="1" t="str">
        <x:v>サンプル情報設計
架空担当C が新しいお知らせを投稿しました
仮想お知らせ-011
詳細：https://courses.example.invalid/demo/SIM-CLASS-011</x:v>
      </x:c>
      <x:c r="M12" s="1" t="str">
        <x:v>未確認</x:v>
      </x:c>
      <x:c r="N12" t="str"/>
      <x:c r="O12" t="str"/>
      <x:c r="P12" t="str"/>
    </x:row>
    <x:row r="13">
      <x:c r="A13" s="3" t="n">
        <x:v>46274.083333333336</x:v>
      </x:c>
      <x:c r="B13" s="1" t="str">
        <x:v>SIM-CLASS-012</x:v>
      </x:c>
      <x:c r="C13" s="1" t="str">
        <x:v>Google Classroom</x:v>
      </x:c>
      <x:c r="D13" s="1" t="str">
        <x:v>架空データ解析</x:v>
      </x:c>
      <x:c r="E13" s="1" t="str">
        <x:v>仮想課題-012</x:v>
      </x:c>
      <x:c r="F13" s="3" t="n">
        <x:v>46280.62430555555</x:v>
      </x:c>
      <x:c r="G13" s="1" t="str">
        <x:v>期限検出</x:v>
      </x:c>
      <x:c r="H13" s="1" t="str">
        <x:v>新しい課題: 仮想課題-012</x:v>
      </x:c>
      <x:c r="I13" s="1" t="str">
        <x:v>架空担当A &lt;fixture-012@example.invalid&gt;</x:v>
      </x:c>
      <x:c r="J13" s="3" t="n">
        <x:v>46274.166666666664</x:v>
      </x:c>
      <x:c r="K13" s="5" t="str">
        <x:v>https://mail.example.invalid/thread/SIM-CLASS-012</x:v>
      </x:c>
      <x:c r="L13" s="1" t="str">
        <x:v>架空データ解析
架空担当A が新しい課題を投稿しました
仮想課題-012
提出期限：2026/09/15 23:59
詳細：https://courses.example.invalid/demo/SIM-CLASS-012</x:v>
      </x:c>
      <x:c r="M13" s="1" t="str">
        <x:v>未確認</x:v>
      </x:c>
      <x:c r="N13" t="str"/>
      <x:c r="O13" t="str"/>
      <x:c r="P13" t="str"/>
    </x:row>
    <x:row r="14">
      <x:c r="A14" s="3" t="n">
        <x:v>46274.125</x:v>
      </x:c>
      <x:c r="B14" s="1" t="str">
        <x:v>SIM-CLASS-013</x:v>
      </x:c>
      <x:c r="C14" s="1" t="str">
        <x:v>Google Classroom</x:v>
      </x:c>
      <x:c r="D14" s="1" t="str">
        <x:v>仮想心理演習</x:v>
      </x:c>
      <x:c r="E14" s="1" t="str">
        <x:v>仮想課題-013</x:v>
      </x:c>
      <x:c r="F14" s="3" t="n">
        <x:v>46281.62430555555</x:v>
      </x:c>
      <x:c r="G14" s="1" t="str">
        <x:v>期限検出</x:v>
      </x:c>
      <x:c r="H14" s="1" t="str">
        <x:v>新しい課題: 仮想課題-013</x:v>
      </x:c>
      <x:c r="I14" s="1" t="str">
        <x:v>架空担当B &lt;fixture-013@example.invalid&gt;</x:v>
      </x:c>
      <x:c r="J14" s="3" t="n">
        <x:v>46274.208333333336</x:v>
      </x:c>
      <x:c r="K14" s="5" t="str">
        <x:v>https://mail.example.invalid/thread/SIM-CLASS-013</x:v>
      </x:c>
      <x:c r="L14" s="1" t="str">
        <x:v>仮想心理演習
架空担当B が新しい課題を投稿しました
仮想課題-013
提出期限：2026/09/16 23:59
詳細：https://courses.example.invalid/demo/SIM-CLASS-013</x:v>
      </x:c>
      <x:c r="M14" s="1" t="str">
        <x:v>未確認</x:v>
      </x:c>
      <x:c r="N14" t="str"/>
      <x:c r="O14" t="str"/>
      <x:c r="P14" t="str"/>
    </x:row>
    <x:row r="15">
      <x:c r="A15" s="3" t="n">
        <x:v>46274.166666666664</x:v>
      </x:c>
      <x:c r="B15" s="1" t="str">
        <x:v>SIM-CLASS-014</x:v>
      </x:c>
      <x:c r="C15" s="1" t="str">
        <x:v>Google Classroom</x:v>
      </x:c>
      <x:c r="D15" s="1" t="str">
        <x:v>サンプル情報設計</x:v>
      </x:c>
      <x:c r="E15" s="1" t="str">
        <x:v>仮想課題-014</x:v>
      </x:c>
      <x:c r="F15" s="3" t="n">
        <x:v>46282.62430555555</x:v>
      </x:c>
      <x:c r="G15" s="1" t="str">
        <x:v>期限検出</x:v>
      </x:c>
      <x:c r="H15" s="1" t="str">
        <x:v>新しい課題: 仮想課題-014</x:v>
      </x:c>
      <x:c r="I15" s="1" t="str">
        <x:v>架空担当C &lt;fixture-014@example.invalid&gt;</x:v>
      </x:c>
      <x:c r="J15" s="3" t="n">
        <x:v>46274.25</x:v>
      </x:c>
      <x:c r="K15" s="5" t="str">
        <x:v>https://mail.example.invalid/thread/SIM-CLASS-014</x:v>
      </x:c>
      <x:c r="L15" s="1" t="str">
        <x:v>サンプル情報設計
架空担当C が新しい課題を投稿しました
仮想課題-014
提出期限：2026/09/17 23:59
詳細：https://courses.example.invalid/demo/SIM-CLASS-014</x:v>
      </x:c>
      <x:c r="M15" s="1" t="str">
        <x:v>未確認</x:v>
      </x:c>
      <x:c r="N15" t="str"/>
      <x:c r="O15" t="str"/>
      <x:c r="P15" t="str"/>
    </x:row>
    <x:row r="16">
      <x:c r="A16" s="3" t="n">
        <x:v>46274.208333333336</x:v>
      </x:c>
      <x:c r="B16" s="1" t="str">
        <x:v>SIM-CLASS-015</x:v>
      </x:c>
      <x:c r="C16" s="1" t="str">
        <x:v>Google Classroom</x:v>
      </x:c>
      <x:c r="D16" s="1" t="str">
        <x:v>架空データ解析</x:v>
      </x:c>
      <x:c r="E16" s="1" t="str">
        <x:v>仮想課題-015</x:v>
      </x:c>
      <x:c r="F16" s="3" t="n">
        <x:v>46283.62430555555</x:v>
      </x:c>
      <x:c r="G16" s="1" t="str">
        <x:v>期限検出</x:v>
      </x:c>
      <x:c r="H16" s="1" t="str">
        <x:v>新しい課題: 仮想課題-015</x:v>
      </x:c>
      <x:c r="I16" s="1" t="str">
        <x:v>架空担当A &lt;fixture-015@example.invalid&gt;</x:v>
      </x:c>
      <x:c r="J16" s="3" t="n">
        <x:v>46274.291666666664</x:v>
      </x:c>
      <x:c r="K16" s="5" t="str">
        <x:v>https://mail.example.invalid/thread/SIM-CLASS-015</x:v>
      </x:c>
      <x:c r="L16" s="1" t="str">
        <x:v>架空データ解析
架空担当A が新しい課題を投稿しました
仮想課題-015
提出期限：2026/09/18 23:59
詳細：https://courses.example.invalid/demo/SIM-CLASS-015</x:v>
      </x:c>
      <x:c r="M16" s="1" t="str">
        <x:v>未確認</x:v>
      </x:c>
      <x:c r="N16" t="str"/>
      <x:c r="O16" t="str"/>
      <x:c r="P16" t="str"/>
    </x:row>
    <x:row r="17">
      <x:c r="A17" s="3" t="n">
        <x:v>46274.25</x:v>
      </x:c>
      <x:c r="B17" s="1" t="str">
        <x:v>SIM-CLASS-016</x:v>
      </x:c>
      <x:c r="C17" s="1" t="str">
        <x:v>Google Classroom</x:v>
      </x:c>
      <x:c r="D17" s="1" t="str">
        <x:v>仮想心理演習</x:v>
      </x:c>
      <x:c r="E17" s="1" t="str">
        <x:v>仮想課題-016</x:v>
      </x:c>
      <x:c r="F17" s="3" t="n">
        <x:v>46284.62430555555</x:v>
      </x:c>
      <x:c r="G17" s="1" t="str">
        <x:v>期限検出</x:v>
      </x:c>
      <x:c r="H17" s="1" t="str">
        <x:v>新しい課題: 仮想課題-016</x:v>
      </x:c>
      <x:c r="I17" s="1" t="str">
        <x:v>架空担当B &lt;fixture-016@example.invalid&gt;</x:v>
      </x:c>
      <x:c r="J17" s="3" t="n">
        <x:v>46274</x:v>
      </x:c>
      <x:c r="K17" s="5" t="str">
        <x:v>https://mail.example.invalid/thread/SIM-CLASS-016</x:v>
      </x:c>
      <x:c r="L17" s="1" t="str">
        <x:v>仮想心理演習
架空担当B が新しい課題を投稿しました
仮想課題-016
提出期限：2026/09/19 23:59
詳細：https://courses.example.invalid/demo/SIM-CLASS-016</x:v>
      </x:c>
      <x:c r="M17" s="1" t="str">
        <x:v>未確認</x:v>
      </x:c>
      <x:c r="N17" t="str"/>
      <x:c r="O17" t="str"/>
      <x:c r="P17" t="str"/>
    </x:row>
    <x:row r="18">
      <x:c r="A18" s="3" t="n">
        <x:v>46274.291666666664</x:v>
      </x:c>
      <x:c r="B18" s="1" t="str">
        <x:v>SIM-CLASS-017</x:v>
      </x:c>
      <x:c r="C18" s="1" t="str">
        <x:v>Google Classroom</x:v>
      </x:c>
      <x:c r="D18" s="1" t="str">
        <x:v>サンプル情報設計</x:v>
      </x:c>
      <x:c r="E18" s="1" t="str">
        <x:v>仮想課題-017</x:v>
      </x:c>
      <x:c r="F18" s="3" t="n">
        <x:v>46285.62430555555</x:v>
      </x:c>
      <x:c r="G18" s="1" t="str">
        <x:v>期限検出</x:v>
      </x:c>
      <x:c r="H18" s="1" t="str">
        <x:v>新しい課題: 仮想課題-017</x:v>
      </x:c>
      <x:c r="I18" s="1" t="str">
        <x:v>架空担当C &lt;fixture-017@example.invalid&gt;</x:v>
      </x:c>
      <x:c r="J18" s="3" t="n">
        <x:v>46274.041666666664</x:v>
      </x:c>
      <x:c r="K18" s="5" t="str">
        <x:v>https://mail.example.invalid/thread/SIM-CLASS-017</x:v>
      </x:c>
      <x:c r="L18" s="1" t="str">
        <x:v>サンプル情報設計
架空担当C が新しい課題を投稿しました
仮想課題-017
提出期限：2026/09/20 23:59
詳細：https://courses.example.invalid/demo/SIM-CLASS-017</x:v>
      </x:c>
      <x:c r="M18" s="1" t="str">
        <x:v>未確認</x:v>
      </x:c>
      <x:c r="N18" t="str"/>
      <x:c r="O18" t="str"/>
      <x:c r="P18" t="str"/>
    </x:row>
    <x:row r="19">
      <x:c r="A19" s="3" t="n">
        <x:v>46273.958333333336</x:v>
      </x:c>
      <x:c r="B19" s="1" t="str">
        <x:v>SIM-CLASS-018</x:v>
      </x:c>
      <x:c r="C19" s="1" t="str">
        <x:v>Google Classroom</x:v>
      </x:c>
      <x:c r="D19" s="1" t="str">
        <x:v>架空データ解析</x:v>
      </x:c>
      <x:c r="E19" s="1" t="str">
        <x:v>仮想課題-018</x:v>
      </x:c>
      <x:c r="F19" s="3" t="n">
        <x:v>46268.62430555555</x:v>
      </x:c>
      <x:c r="G19" s="1" t="str">
        <x:v>期限検出</x:v>
      </x:c>
      <x:c r="H19" s="1" t="str">
        <x:v>新しい課題: 仮想課題-018</x:v>
      </x:c>
      <x:c r="I19" s="1" t="str">
        <x:v>架空担当A &lt;fixture-018@example.invalid&gt;</x:v>
      </x:c>
      <x:c r="J19" s="3" t="n">
        <x:v>46274.083333333336</x:v>
      </x:c>
      <x:c r="K19" s="5" t="str">
        <x:v>https://mail.example.invalid/thread/SIM-CLASS-018</x:v>
      </x:c>
      <x:c r="L19" s="1" t="str">
        <x:v>架空データ解析
架空担当A が新しい課題を投稿しました
仮想課題-018
提出期限：2026/09/03 23:59
詳細：https://courses.example.invalid/demo/SIM-CLASS-018</x:v>
      </x:c>
      <x:c r="M19" s="1" t="str">
        <x:v>未確認</x:v>
      </x:c>
      <x:c r="N19" t="str"/>
      <x:c r="O19" t="str"/>
      <x:c r="P19" t="str"/>
    </x:row>
    <x:row r="20">
      <x:c r="A20" s="3" t="n">
        <x:v>46274</x:v>
      </x:c>
      <x:c r="B20" s="1" t="str">
        <x:v>SIM-CLASS-019</x:v>
      </x:c>
      <x:c r="C20" s="1" t="str">
        <x:v>Google Classroom</x:v>
      </x:c>
      <x:c r="D20" s="1" t="str">
        <x:v>仮想心理演習</x:v>
      </x:c>
      <x:c r="E20" s="1" t="str">
        <x:v>仮想課題-019</x:v>
      </x:c>
      <x:c r="F20" s="3" t="n">
        <x:v>46269.62430555555</x:v>
      </x:c>
      <x:c r="G20" s="1" t="str">
        <x:v>期限検出</x:v>
      </x:c>
      <x:c r="H20" s="1" t="str">
        <x:v>新しい課題: 仮想課題-019</x:v>
      </x:c>
      <x:c r="I20" s="1" t="str">
        <x:v>架空担当B &lt;fixture-019@example.invalid&gt;</x:v>
      </x:c>
      <x:c r="J20" s="3" t="n">
        <x:v>46274.125</x:v>
      </x:c>
      <x:c r="K20" s="5" t="str">
        <x:v>https://mail.example.invalid/thread/SIM-CLASS-019</x:v>
      </x:c>
      <x:c r="L20" s="1" t="str">
        <x:v>仮想心理演習
架空担当B が新しい課題を投稿しました
仮想課題-019
提出期限：2026/09/04 23:59
詳細：https://courses.example.invalid/demo/SIM-CLASS-019</x:v>
      </x:c>
      <x:c r="M20" s="1" t="str">
        <x:v>未確認</x:v>
      </x:c>
      <x:c r="N20" t="str"/>
      <x:c r="O20" t="str"/>
      <x:c r="P20" t="str"/>
    </x:row>
    <x:row r="21">
      <x:c r="A21" s="3" t="n">
        <x:v>46274.041666666664</x:v>
      </x:c>
      <x:c r="B21" s="1" t="str">
        <x:v>SIM-CLASS-020</x:v>
      </x:c>
      <x:c r="C21" s="1" t="str">
        <x:v>Google Classroom</x:v>
      </x:c>
      <x:c r="D21" s="1" t="str">
        <x:v>サンプル情報設計</x:v>
      </x:c>
      <x:c r="E21" s="1" t="str">
        <x:v>仮想課題-020</x:v>
      </x:c>
      <x:c r="F21" s="3" t="n">
        <x:v>46270.62430555555</x:v>
      </x:c>
      <x:c r="G21" s="1" t="str">
        <x:v>期限検出</x:v>
      </x:c>
      <x:c r="H21" s="1" t="str">
        <x:v>新しい課題: 仮想課題-020</x:v>
      </x:c>
      <x:c r="I21" s="1" t="str">
        <x:v>架空担当C &lt;fixture-020@example.invalid&gt;</x:v>
      </x:c>
      <x:c r="J21" s="3" t="n">
        <x:v>46274.166666666664</x:v>
      </x:c>
      <x:c r="K21" s="5" t="str">
        <x:v>https://mail.example.invalid/thread/SIM-CLASS-020</x:v>
      </x:c>
      <x:c r="L21" s="1" t="str">
        <x:v>サンプル情報設計
架空担当C が新しい課題を投稿しました
仮想課題-020
提出期限：2026/09/05 23:59
詳細：https://courses.example.invalid/demo/SIM-CLASS-020</x:v>
      </x:c>
      <x:c r="M21" s="1" t="str">
        <x:v>未確認</x:v>
      </x:c>
      <x:c r="N21" t="str"/>
      <x:c r="O21" t="str"/>
      <x:c r="P21" t="str"/>
    </x:row>
    <x:row r="22">
      <x:c r="A22" s="3" t="n">
        <x:v>46274.083333333336</x:v>
      </x:c>
      <x:c r="B22" s="1" t="str">
        <x:v>SIM-CLASS-021</x:v>
      </x:c>
      <x:c r="C22" s="1" t="str">
        <x:v>Google Classroom</x:v>
      </x:c>
      <x:c r="D22" s="1" t="str">
        <x:v>架空データ解析</x:v>
      </x:c>
      <x:c r="E22" s="1" t="str">
        <x:v>仮想課題-021</x:v>
      </x:c>
      <x:c r="F22" s="3" t="n">
        <x:v>46271.62430555555</x:v>
      </x:c>
      <x:c r="G22" s="1" t="str">
        <x:v>期限検出</x:v>
      </x:c>
      <x:c r="H22" s="1" t="str">
        <x:v>新しい課題: 仮想課題-021</x:v>
      </x:c>
      <x:c r="I22" s="1" t="str">
        <x:v>架空担当A &lt;fixture-021@example.invalid&gt;</x:v>
      </x:c>
      <x:c r="J22" s="3" t="n">
        <x:v>46274.208333333336</x:v>
      </x:c>
      <x:c r="K22" s="5" t="str">
        <x:v>https://mail.example.invalid/thread/SIM-CLASS-021</x:v>
      </x:c>
      <x:c r="L22" s="1" t="str">
        <x:v>架空データ解析
架空担当A が新しい課題を投稿しました
仮想課題-021
提出期限：2026/09/06 23:59
詳細：https://courses.example.invalid/demo/SIM-CLASS-021</x:v>
      </x:c>
      <x:c r="M22" s="1" t="str">
        <x:v>未確認</x:v>
      </x:c>
      <x:c r="N22" t="str"/>
      <x:c r="O22" t="str"/>
      <x:c r="P22" t="str"/>
    </x:row>
    <x:row r="23">
      <x:c r="A23" s="3" t="n">
        <x:v>46274.125</x:v>
      </x:c>
      <x:c r="B23" s="1" t="str">
        <x:v>SIM-CLASS-022</x:v>
      </x:c>
      <x:c r="C23" s="1" t="str">
        <x:v>Google Classroom</x:v>
      </x:c>
      <x:c r="D23" s="1" t="str">
        <x:v>仮想心理演習</x:v>
      </x:c>
      <x:c r="E23" s="1" t="str">
        <x:v>仮想お知らせ-022</x:v>
      </x:c>
      <x:c r="F23" s="3" t="str"/>
      <x:c r="G23" s="1" t="str">
        <x:v>期限未検出・要確認</x:v>
      </x:c>
      <x:c r="H23" s="1" t="str">
        <x:v>新しいお知らせ: 仮想お知らせ-022</x:v>
      </x:c>
      <x:c r="I23" s="1" t="str">
        <x:v>架空担当B &lt;fixture-022@example.invalid&gt;</x:v>
      </x:c>
      <x:c r="J23" s="3" t="n">
        <x:v>46274.25</x:v>
      </x:c>
      <x:c r="K23" s="5" t="str">
        <x:v>https://mail.example.invalid/thread/SIM-CLASS-022</x:v>
      </x:c>
      <x:c r="L23" s="1" t="str">
        <x:v>仮想心理演習
架空担当B が新しいお知らせを投稿しました
仮想お知らせ-022
詳細：https://courses.example.invalid/demo/SIM-CLASS-022</x:v>
      </x:c>
      <x:c r="M23" s="1" t="str">
        <x:v>未確認</x:v>
      </x:c>
      <x:c r="N23" t="str"/>
      <x:c r="O23" t="str"/>
      <x:c r="P23" t="str"/>
    </x:row>
    <x:row r="24">
      <x:c r="A24" s="3" t="n">
        <x:v>46274.166666666664</x:v>
      </x:c>
      <x:c r="B24" s="1" t="str">
        <x:v>SIM-CLASS-023</x:v>
      </x:c>
      <x:c r="C24" s="1" t="str">
        <x:v>Google Classroom</x:v>
      </x:c>
      <x:c r="D24" s="1" t="str">
        <x:v>サンプル情報設計</x:v>
      </x:c>
      <x:c r="E24" s="1" t="str">
        <x:v>仮想課題-023</x:v>
      </x:c>
      <x:c r="F24" s="8" t="n">
        <x:v>46273.62430555555</x:v>
      </x:c>
      <x:c r="G24" s="1" t="str">
        <x:v>期限検出</x:v>
      </x:c>
      <x:c r="H24" s="1" t="str">
        <x:v>新しい課題: 仮想課題-023</x:v>
      </x:c>
      <x:c r="I24" s="1" t="str">
        <x:v>架空担当C &lt;fixture-023@example.invalid&gt;</x:v>
      </x:c>
      <x:c r="J24" s="3" t="n">
        <x:v>46274.291666666664</x:v>
      </x:c>
      <x:c r="K24" s="5" t="str">
        <x:v>https://mail.example.invalid/thread/SIM-CLASS-023</x:v>
      </x:c>
      <x:c r="L24" s="1" t="str">
        <x:v>サンプル情報設計
架空担当C が新しい課題を投稿しました
仮想課題-023
提出期限：2026/09/08 23:59
詳細：https://courses.example.invalid/demo/SIM-CLASS-023</x:v>
      </x:c>
      <x:c r="M24" s="1" t="str">
        <x:v>未確認</x:v>
      </x:c>
      <x:c r="N24" t="str"/>
      <x:c r="O24" t="str"/>
      <x:c r="P24" t="str"/>
    </x:row>
    <x:row r="25">
      <x:c r="A25" s="3" t="n">
        <x:v>46274.208333333336</x:v>
      </x:c>
      <x:c r="B25" s="1" t="str">
        <x:v>SIM-CLASS-024</x:v>
      </x:c>
      <x:c r="C25" s="1" t="str">
        <x:v>Google Classroom</x:v>
      </x:c>
      <x:c r="D25" s="1" t="str">
        <x:v>架空データ解析</x:v>
      </x:c>
      <x:c r="E25" s="1" t="str">
        <x:v>仮想課題-024</x:v>
      </x:c>
      <x:c r="F25" t="n">
        <x:v>46274.62430555555</x:v>
      </x:c>
      <x:c r="G25" s="1" t="str">
        <x:v>期限検出</x:v>
      </x:c>
      <x:c r="H25" s="1" t="str">
        <x:v>新しい課題: 仮想課題-024</x:v>
      </x:c>
      <x:c r="I25" s="1" t="str">
        <x:v>架空担当A &lt;fixture-024@example.invalid&gt;</x:v>
      </x:c>
      <x:c r="J25" s="3" t="n">
        <x:v>46274</x:v>
      </x:c>
      <x:c r="K25" s="5" t="str">
        <x:v>https://mail.example.invalid/thread/SIM-CLASS-024</x:v>
      </x:c>
      <x:c r="L25" s="1" t="str">
        <x:v>架空データ解析
架空担当A が新しい課題を投稿しました
仮想課題-024
提出期限：2026/09/09 23:59
詳細：https://courses.example.invalid/demo/SIM-CLASS-024</x:v>
      </x:c>
      <x:c r="M25" s="1" t="str">
        <x:v>未確認</x:v>
      </x:c>
      <x:c r="N25" t="str"/>
      <x:c r="O25" t="str"/>
      <x:c r="P25" t="str"/>
    </x:row>
    <x:row r="26">
      <x:c r="A26" s="3" t="n">
        <x:v>46274.25</x:v>
      </x:c>
      <x:c r="B26" s="1" t="str">
        <x:v>SIM-CLASS-025</x:v>
      </x:c>
      <x:c r="C26" s="1" t="str">
        <x:v>Google Classroom</x:v>
      </x:c>
      <x:c r="D26" s="1" t="str">
        <x:v>仮想心理演習</x:v>
      </x:c>
      <x:c r="E26" s="1" t="str">
        <x:v>仮想課題-025</x:v>
      </x:c>
      <x:c r="F26" t="n">
        <x:v>46275.62430555555</x:v>
      </x:c>
      <x:c r="G26" s="1" t="str">
        <x:v>期限検出</x:v>
      </x:c>
      <x:c r="H26" s="1" t="str">
        <x:v>新しい課題: 仮想課題-025</x:v>
      </x:c>
      <x:c r="I26" s="1" t="str">
        <x:v>架空担当B &lt;fixture-025@example.invalid&gt;</x:v>
      </x:c>
      <x:c r="J26" s="3" t="n">
        <x:v>46274.041666666664</x:v>
      </x:c>
      <x:c r="K26" s="5" t="str">
        <x:v>https://mail.example.invalid/thread/SIM-CLASS-025</x:v>
      </x:c>
      <x:c r="L26" s="1" t="str">
        <x:v>仮想心理演習
架空担当B が新しい課題を投稿しました
仮想課題-025
提出期限：2026/09/10 23:59
詳細：https://courses.example.invalid/demo/SIM-CLASS-025</x:v>
      </x:c>
      <x:c r="M26" s="1" t="str">
        <x:v>未確認</x:v>
      </x:c>
      <x:c r="N26" t="str"/>
      <x:c r="O26" t="str"/>
      <x:c r="P26" t="str"/>
    </x:row>
    <x:row r="27">
      <x:c r="A27" s="3" t="n">
        <x:v>46274.291666666664</x:v>
      </x:c>
      <x:c r="B27" s="1" t="str">
        <x:v>SIM-CLASS-026</x:v>
      </x:c>
      <x:c r="C27" s="1" t="str">
        <x:v>Google Classroom</x:v>
      </x:c>
      <x:c r="D27" s="1" t="str">
        <x:v>サンプル情報設計</x:v>
      </x:c>
      <x:c r="E27" s="1" t="str">
        <x:v>仮想課題-026</x:v>
      </x:c>
      <x:c r="F27" s="3" t="n">
        <x:v>46276.62430555555</x:v>
      </x:c>
      <x:c r="G27" s="1" t="str">
        <x:v>期限検出</x:v>
      </x:c>
      <x:c r="H27" s="1" t="str">
        <x:v>新しい課題: 仮想課題-026</x:v>
      </x:c>
      <x:c r="I27" s="1" t="str">
        <x:v>架空担当C &lt;fixture-026@example.invalid&gt;</x:v>
      </x:c>
      <x:c r="J27" s="3" t="n">
        <x:v>46274.083333333336</x:v>
      </x:c>
      <x:c r="K27" s="5" t="str">
        <x:v>https://mail.example.invalid/thread/SIM-CLASS-026</x:v>
      </x:c>
      <x:c r="L27" s="1" t="str">
        <x:v>サンプル情報設計
架空担当C が新しい課題を投稿しました
仮想課題-026
提出期限：2026/09/11 23:59
詳細：https://courses.example.invalid/demo/SIM-CLASS-026</x:v>
      </x:c>
      <x:c r="M27" s="1" t="str">
        <x:v>未確認</x:v>
      </x:c>
      <x:c r="N27" t="str"/>
      <x:c r="O27" t="str"/>
      <x:c r="P27" t="str"/>
    </x:row>
    <x:row r="28">
      <x:c r="A28" s="3" t="n">
        <x:v>46273.958333333336</x:v>
      </x:c>
      <x:c r="B28" s="1" t="str">
        <x:v>SIM-CLASS-027</x:v>
      </x:c>
      <x:c r="C28" s="1" t="str">
        <x:v>Google Classroom</x:v>
      </x:c>
      <x:c r="D28" s="1" t="str">
        <x:v>架空データ解析</x:v>
      </x:c>
      <x:c r="E28" s="1" t="str">
        <x:v>仮想課題-027</x:v>
      </x:c>
      <x:c r="F28" t="n">
        <x:v>46277.62430555555</x:v>
      </x:c>
      <x:c r="G28" s="1" t="str">
        <x:v>期限検出</x:v>
      </x:c>
      <x:c r="H28" s="1" t="str">
        <x:v>新しい課題: 仮想課題-027</x:v>
      </x:c>
      <x:c r="I28" s="1" t="str">
        <x:v>架空担当A &lt;fixture-027@example.invalid&gt;</x:v>
      </x:c>
      <x:c r="J28" s="3" t="n">
        <x:v>46274.125</x:v>
      </x:c>
      <x:c r="K28" s="5" t="str">
        <x:v>https://mail.example.invalid/thread/SIM-CLASS-027</x:v>
      </x:c>
      <x:c r="L28" s="1" t="str">
        <x:v>架空データ解析
架空担当A が新しい課題を投稿しました
仮想課題-027
提出期限：2026/09/12 23:59
詳細：https://courses.example.invalid/demo/SIM-CLASS-027</x:v>
      </x:c>
      <x:c r="M28" s="1" t="str">
        <x:v>未確認</x:v>
      </x:c>
      <x:c r="N28" t="str"/>
      <x:c r="O28" t="str"/>
      <x:c r="P28" t="str"/>
    </x:row>
    <x:row r="29">
      <x:c r="A29" s="3" t="n">
        <x:v>46274</x:v>
      </x:c>
      <x:c r="B29" s="1" t="str">
        <x:v>SIM-CLASS-028</x:v>
      </x:c>
      <x:c r="C29" s="1" t="str">
        <x:v>Google Classroom</x:v>
      </x:c>
      <x:c r="D29" s="1" t="str">
        <x:v>仮想心理演習</x:v>
      </x:c>
      <x:c r="E29" s="1" t="str">
        <x:v>仮想課題-028</x:v>
      </x:c>
      <x:c r="F29" t="n">
        <x:v>46278.62430555555</x:v>
      </x:c>
      <x:c r="G29" s="1" t="str">
        <x:v>期限検出</x:v>
      </x:c>
      <x:c r="H29" s="1" t="str">
        <x:v>新しい課題: 仮想課題-028</x:v>
      </x:c>
      <x:c r="I29" s="1" t="str">
        <x:v>架空担当B &lt;fixture-028@example.invalid&gt;</x:v>
      </x:c>
      <x:c r="J29" s="3" t="n">
        <x:v>46274.166666666664</x:v>
      </x:c>
      <x:c r="K29" s="5" t="str">
        <x:v>https://mail.example.invalid/thread/SIM-CLASS-028</x:v>
      </x:c>
      <x:c r="L29" s="1" t="str">
        <x:v>仮想心理演習
架空担当B が新しい課題を投稿しました
仮想課題-028
提出期限：2026/09/13 23:59
詳細：https://courses.example.invalid/demo/SIM-CLASS-028</x:v>
      </x:c>
      <x:c r="M29" s="1" t="str">
        <x:v>未確認</x:v>
      </x:c>
      <x:c r="N29" t="str"/>
      <x:c r="O29" t="str"/>
      <x:c r="P29" t="str"/>
    </x:row>
    <x:row r="30">
      <x:c r="A30" s="3" t="n">
        <x:v>46274.041666666664</x:v>
      </x:c>
      <x:c r="B30" s="1" t="str">
        <x:v>SIM-CLASS-029</x:v>
      </x:c>
      <x:c r="C30" s="1" t="str">
        <x:v>Google Classroom</x:v>
      </x:c>
      <x:c r="D30" s="1" t="str">
        <x:v>サンプル情報設計</x:v>
      </x:c>
      <x:c r="E30" s="1" t="str">
        <x:v>仮想課題-029</x:v>
      </x:c>
      <x:c r="F30" t="n">
        <x:v>46279.62430555555</x:v>
      </x:c>
      <x:c r="G30" s="1" t="str">
        <x:v>期限検出</x:v>
      </x:c>
      <x:c r="H30" s="1" t="str">
        <x:v>新しい課題: 仮想課題-029</x:v>
      </x:c>
      <x:c r="I30" s="1" t="str">
        <x:v>架空担当C &lt;fixture-029@example.invalid&gt;</x:v>
      </x:c>
      <x:c r="J30" s="3" t="n">
        <x:v>46274.208333333336</x:v>
      </x:c>
      <x:c r="K30" s="5" t="str">
        <x:v>https://mail.example.invalid/thread/SIM-CLASS-029</x:v>
      </x:c>
      <x:c r="L30" s="1" t="str">
        <x:v>サンプル情報設計
架空担当C が新しい課題を投稿しました
仮想課題-029
提出期限：2026/09/14 23:59
詳細：https://courses.example.invalid/demo/SIM-CLASS-029</x:v>
      </x:c>
      <x:c r="M30" s="1" t="str">
        <x:v>未確認</x:v>
      </x:c>
      <x:c r="N30" t="str"/>
      <x:c r="O30" t="str"/>
      <x:c r="P30" t="str"/>
    </x:row>
  </x:sheetData>
  <x:hyperlinks>
    <x:hyperlink xmlns:r="http://schemas.openxmlformats.org/officeDocument/2006/relationships" ref="K2" r:id="R64ebc7539bcb4406"/>
    <x:hyperlink xmlns:r="http://schemas.openxmlformats.org/officeDocument/2006/relationships" ref="K3" r:id="Rc7e651a110b34403"/>
    <x:hyperlink xmlns:r="http://schemas.openxmlformats.org/officeDocument/2006/relationships" ref="K4" r:id="R5fb4bbcdda344be6"/>
    <x:hyperlink xmlns:r="http://schemas.openxmlformats.org/officeDocument/2006/relationships" ref="K5" r:id="R8e0b7191ffd940ae"/>
    <x:hyperlink xmlns:r="http://schemas.openxmlformats.org/officeDocument/2006/relationships" ref="K6" r:id="Ra933a8f86bae4af5"/>
    <x:hyperlink xmlns:r="http://schemas.openxmlformats.org/officeDocument/2006/relationships" ref="K7" r:id="R5cf34c65936d4b59"/>
    <x:hyperlink xmlns:r="http://schemas.openxmlformats.org/officeDocument/2006/relationships" ref="K8" r:id="R6f3d101b6dea42e9"/>
    <x:hyperlink xmlns:r="http://schemas.openxmlformats.org/officeDocument/2006/relationships" ref="K9" r:id="R89deec17bf6540d5"/>
    <x:hyperlink xmlns:r="http://schemas.openxmlformats.org/officeDocument/2006/relationships" ref="K10" r:id="R73177bbc3d97460e"/>
    <x:hyperlink xmlns:r="http://schemas.openxmlformats.org/officeDocument/2006/relationships" ref="K11" r:id="Rd2576a2e8203415c"/>
    <x:hyperlink xmlns:r="http://schemas.openxmlformats.org/officeDocument/2006/relationships" ref="K12" r:id="Rc2960e83ed274492"/>
    <x:hyperlink xmlns:r="http://schemas.openxmlformats.org/officeDocument/2006/relationships" ref="K13" r:id="R9b9642bffd57410f"/>
    <x:hyperlink xmlns:r="http://schemas.openxmlformats.org/officeDocument/2006/relationships" ref="K14" r:id="Rc8003135b277468f"/>
    <x:hyperlink xmlns:r="http://schemas.openxmlformats.org/officeDocument/2006/relationships" ref="K15" r:id="Rdeb4e18580d94c0d"/>
    <x:hyperlink xmlns:r="http://schemas.openxmlformats.org/officeDocument/2006/relationships" ref="K16" r:id="R23d06cea7ed04951"/>
    <x:hyperlink xmlns:r="http://schemas.openxmlformats.org/officeDocument/2006/relationships" ref="K17" r:id="R8c6b9a4ae0e141c8"/>
    <x:hyperlink xmlns:r="http://schemas.openxmlformats.org/officeDocument/2006/relationships" ref="K18" r:id="R731ac07d1adc4d36"/>
    <x:hyperlink xmlns:r="http://schemas.openxmlformats.org/officeDocument/2006/relationships" ref="K19" r:id="Ra6bd0b0684204d4f"/>
    <x:hyperlink xmlns:r="http://schemas.openxmlformats.org/officeDocument/2006/relationships" ref="K20" r:id="R37a8f7ca8fe7479d"/>
    <x:hyperlink xmlns:r="http://schemas.openxmlformats.org/officeDocument/2006/relationships" ref="K21" r:id="R1613027addec49f9"/>
    <x:hyperlink xmlns:r="http://schemas.openxmlformats.org/officeDocument/2006/relationships" ref="K22" r:id="Reebbf28b405546dc"/>
    <x:hyperlink xmlns:r="http://schemas.openxmlformats.org/officeDocument/2006/relationships" ref="K23" r:id="R1708f4ea8f534b6c"/>
    <x:hyperlink xmlns:r="http://schemas.openxmlformats.org/officeDocument/2006/relationships" ref="K24" r:id="Rd31f7ced15424859"/>
    <x:hyperlink xmlns:r="http://schemas.openxmlformats.org/officeDocument/2006/relationships" ref="K25" r:id="R038abd667d4a4dde"/>
    <x:hyperlink xmlns:r="http://schemas.openxmlformats.org/officeDocument/2006/relationships" ref="K26" r:id="Rcb0ddb1f06f14e01"/>
    <x:hyperlink xmlns:r="http://schemas.openxmlformats.org/officeDocument/2006/relationships" ref="K27" r:id="Re4373de7a42143a9"/>
    <x:hyperlink xmlns:r="http://schemas.openxmlformats.org/officeDocument/2006/relationships" ref="K28" r:id="R6fc29c37ef7d496f"/>
    <x:hyperlink xmlns:r="http://schemas.openxmlformats.org/officeDocument/2006/relationships" ref="K29" r:id="R5ef1a68e3a554c14"/>
    <x:hyperlink xmlns:r="http://schemas.openxmlformats.org/officeDocument/2006/relationships" ref="K30" r:id="R714e971aa283469e"/>
  </x:hyperlink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ColWidth="12.630000114440918" defaultRowHeight="15.75"/>
  <x:cols>
    <x:col min="1" max="1" width="8.630000114440918" customWidth="1"/>
    <x:col min="2" max="2" width="15.5" customWidth="1"/>
    <x:col min="3" max="3" width="8.25" customWidth="1"/>
    <x:col min="4" max="4" width="11.130000114440918" customWidth="1"/>
    <x:col min="5" max="5" width="47" customWidth="1"/>
    <x:col min="6" max="6" width="9.630000114440918" customWidth="1"/>
    <x:col min="7" max="7" width="7.380000114440918" customWidth="1"/>
    <x:col min="8" max="8" width="47" customWidth="1"/>
    <x:col min="9" max="9" width="28.6299991607666" customWidth="1"/>
    <x:col min="10" max="10" width="8.630000114440918" customWidth="1"/>
    <x:col min="11" max="11" width="85.25" customWidth="1"/>
    <x:col min="12" max="12" width="163.75" customWidth="1"/>
    <x:col min="13" max="14" width="3.880000114440918" customWidth="1"/>
  </x:cols>
  <x:sheetData>
    <x:row r="1">
      <x:c r="A1" s="1" t="str">
        <x:v>保存日時</x:v>
      </x:c>
      <x:c r="B1" s="1" t="str">
        <x:v>メッセージID</x:v>
      </x:c>
      <x:c r="C1" s="1" t="str">
        <x:v>通知元</x:v>
      </x:c>
      <x:c r="D1" s="1" t="str">
        <x:v>授業名</x:v>
      </x:c>
      <x:c r="E1" s="1" t="str">
        <x:v>課題・通知タイトル</x:v>
      </x:c>
      <x:c r="F1" s="1" t="str">
        <x:v>期限</x:v>
      </x:c>
      <x:c r="G1" s="1" t="str">
        <x:v>期限状態</x:v>
      </x:c>
      <x:c r="H1" s="1" t="str">
        <x:v>メール件名</x:v>
      </x:c>
      <x:c r="I1" s="1" t="str">
        <x:v>送信者</x:v>
      </x:c>
      <x:c r="J1" s="1" t="str">
        <x:v>受信日時</x:v>
      </x:c>
      <x:c r="K1" s="1" t="str">
        <x:v>Gmailリンク</x:v>
      </x:c>
      <x:c r="L1" s="1" t="str">
        <x:v>本文</x:v>
      </x:c>
      <x:c r="M1" s="1" t="str">
        <x:v>確認状態</x:v>
      </x:c>
      <x:c r="N1" s="1" t="str">
        <x:v>完了日時</x:v>
      </x:c>
      <x:c r="O1" s="1" t="str">
        <x:v>更新レコード状態</x:v>
      </x:c>
      <x:c r="P1" s="1" t="str">
        <x:v>適用済み提出記録</x:v>
      </x:c>
    </x:row>
    <x:row r="2">
      <x:c r="A2" s="3" t="n">
        <x:v>46274</x:v>
      </x:c>
      <x:c r="B2" s="1" t="str">
        <x:v>SIM-INCA-001</x:v>
      </x:c>
      <x:c r="C2" s="1" t="str">
        <x:v>inCampus</x:v>
      </x:c>
      <x:c r="D2" s="1" t="str">
        <x:v>仮想心理演習</x:v>
      </x:c>
      <x:c r="E2" s="1" t="str">
        <x:v>仮想課題-001</x:v>
      </x:c>
      <x:c r="F2" s="3" t="n">
        <x:v>46269.62430555555</x:v>
      </x:c>
      <x:c r="G2" s="1" t="str">
        <x:v>期限検出</x:v>
      </x:c>
      <x:c r="H2" s="1" t="str">
        <x:v>新しい課題: 仮想課題-001</x:v>
      </x:c>
      <x:c r="I2" s="1" t="str">
        <x:v>架空担当B &lt;fixture-001@example.invalid&gt;</x:v>
      </x:c>
      <x:c r="J2" s="3" t="n">
        <x:v>46274.041666666664</x:v>
      </x:c>
      <x:c r="K2" s="5" t="str">
        <x:v>https://mail.example.invalid/thread/SIM-INCA-001</x:v>
      </x:c>
      <x:c r="L2" s="1" t="str">
        <x:v>履修者：SIM-000001
曜日・時限：火曜3限
授業名：仮想心理演習
教員名：架空担当B
更新内容：
・課題（仮想課題-001）が追加されました。（2026/09/10 08:00）
参照：https://portal.example.invalid/demo/SIM-INCA-001</x:v>
      </x:c>
      <x:c r="M2" s="1" t="str">
        <x:v>未確認</x:v>
      </x:c>
      <x:c r="N2" t="str"/>
      <x:c r="O2" t="str"/>
      <x:c r="P2" t="str"/>
    </x:row>
    <x:row r="3">
      <x:c r="A3" s="3" t="n">
        <x:v>46274.041666666664</x:v>
      </x:c>
      <x:c r="B3" s="1" t="str">
        <x:v>SIM-INCA-002</x:v>
      </x:c>
      <x:c r="C3" s="1" t="str">
        <x:v>inCampus</x:v>
      </x:c>
      <x:c r="D3" s="1" t="str">
        <x:v>サンプル情報設計</x:v>
      </x:c>
      <x:c r="E3" s="1" t="str">
        <x:v>仮想課題-002</x:v>
      </x:c>
      <x:c r="F3" s="3" t="n">
        <x:v>46270.62430555555</x:v>
      </x:c>
      <x:c r="G3" s="1" t="str">
        <x:v>期限検出</x:v>
      </x:c>
      <x:c r="H3" s="1" t="str">
        <x:v>新しい課題: 仮想課題-002</x:v>
      </x:c>
      <x:c r="I3" s="1" t="str">
        <x:v>架空担当C &lt;fixture-002@example.invalid&gt;</x:v>
      </x:c>
      <x:c r="J3" s="3" t="n">
        <x:v>46274.083333333336</x:v>
      </x:c>
      <x:c r="K3" s="5" t="str">
        <x:v>https://mail.example.invalid/thread/SIM-INCA-002</x:v>
      </x:c>
      <x:c r="L3" s="1" t="str">
        <x:v>履修者：SIM-000002
曜日・時限：金曜2限
授業名：サンプル情報設計
教員名：架空担当C
更新内容：
・課題（仮想課題-002）が追加されました。（2026/09/10 08:00）
参照：https://portal.example.invalid/demo/SIM-INCA-002</x:v>
      </x:c>
      <x:c r="M3" s="1" t="str">
        <x:v>未確認</x:v>
      </x:c>
      <x:c r="N3" t="str"/>
      <x:c r="O3" t="str"/>
      <x:c r="P3" t="str"/>
    </x:row>
    <x:row r="4">
      <x:c r="A4" s="3" t="n">
        <x:v>46274.083333333336</x:v>
      </x:c>
      <x:c r="B4" s="1" t="str">
        <x:v>SIM-INCA-003</x:v>
      </x:c>
      <x:c r="C4" s="1" t="str">
        <x:v>inCampus</x:v>
      </x:c>
      <x:c r="D4" s="1" t="str">
        <x:v>架空データ解析</x:v>
      </x:c>
      <x:c r="E4" s="1" t="str">
        <x:v>仮想課題-003</x:v>
      </x:c>
      <x:c r="F4" s="3" t="n">
        <x:v>46271.62430555555</x:v>
      </x:c>
      <x:c r="G4" s="1" t="str">
        <x:v>期限検出</x:v>
      </x:c>
      <x:c r="H4" s="1" t="str">
        <x:v>新しい課題: 仮想課題-003</x:v>
      </x:c>
      <x:c r="I4" s="1" t="str">
        <x:v>架空担当A &lt;fixture-003@example.invalid&gt;</x:v>
      </x:c>
      <x:c r="J4" s="3" t="n">
        <x:v>46274.125</x:v>
      </x:c>
      <x:c r="K4" s="5" t="str">
        <x:v>https://mail.example.invalid/thread/SIM-INCA-003</x:v>
      </x:c>
      <x:c r="L4" s="1" t="str">
        <x:v>履修者：SIM-000003
曜日・時限：月曜1限
授業名：架空データ解析
教員名：架空担当A
更新内容：
・課題（仮想課題-003）が追加されました。（2026/09/10 08:00）
参照：https://portal.example.invalid/demo/SIM-INCA-003</x:v>
      </x:c>
      <x:c r="M4" s="1" t="str">
        <x:v>未確認</x:v>
      </x:c>
      <x:c r="N4" t="str"/>
      <x:c r="O4" t="str"/>
      <x:c r="P4" t="str"/>
    </x:row>
    <x:row r="5">
      <x:c r="A5" s="3" t="n">
        <x:v>46274.125</x:v>
      </x:c>
      <x:c r="B5" s="1" t="str">
        <x:v>SIM-INCA-004</x:v>
      </x:c>
      <x:c r="C5" s="1" t="str">
        <x:v>inCampus</x:v>
      </x:c>
      <x:c r="D5" s="1" t="str">
        <x:v>仮想心理演習</x:v>
      </x:c>
      <x:c r="E5" s="1" t="str">
        <x:v>仮想課題-004</x:v>
      </x:c>
      <x:c r="F5" s="3" t="n">
        <x:v>46272.62430555555</x:v>
      </x:c>
      <x:c r="G5" s="1" t="str">
        <x:v>期限検出</x:v>
      </x:c>
      <x:c r="H5" s="1" t="str">
        <x:v>新しい課題: 仮想課題-004</x:v>
      </x:c>
      <x:c r="I5" s="1" t="str">
        <x:v>架空担当B &lt;fixture-004@example.invalid&gt;</x:v>
      </x:c>
      <x:c r="J5" s="3" t="n">
        <x:v>46274.166666666664</x:v>
      </x:c>
      <x:c r="K5" s="5" t="str">
        <x:v>https://mail.example.invalid/thread/SIM-INCA-004</x:v>
      </x:c>
      <x:c r="L5" s="1" t="str">
        <x:v>履修者：SIM-000004
曜日・時限：火曜3限
授業名：仮想心理演習
教員名：架空担当B
更新内容：
・課題（仮想課題-004）が追加されました。（2026/09/10 08:00）
参照：https://portal.example.invalid/demo/SIM-INCA-004</x:v>
      </x:c>
      <x:c r="M5" s="1" t="str">
        <x:v>未確認</x:v>
      </x:c>
      <x:c r="N5" t="str"/>
      <x:c r="O5" t="str"/>
      <x:c r="P5" t="str"/>
    </x:row>
    <x:row r="6">
      <x:c r="A6" s="3" t="n">
        <x:v>46274.166666666664</x:v>
      </x:c>
      <x:c r="B6" s="1" t="str">
        <x:v>SIM-INCA-005</x:v>
      </x:c>
      <x:c r="C6" s="1" t="str">
        <x:v>inCampus</x:v>
      </x:c>
      <x:c r="D6" s="1" t="str">
        <x:v>サンプル情報設計</x:v>
      </x:c>
      <x:c r="E6" s="1" t="str">
        <x:v>仮想課題-005</x:v>
      </x:c>
      <x:c r="F6" s="3" t="n">
        <x:v>46273.62430555555</x:v>
      </x:c>
      <x:c r="G6" s="1" t="str">
        <x:v>期限検出</x:v>
      </x:c>
      <x:c r="H6" s="1" t="str">
        <x:v>新しい課題: 仮想課題-005</x:v>
      </x:c>
      <x:c r="I6" s="1" t="str">
        <x:v>架空担当C &lt;fixture-005@example.invalid&gt;</x:v>
      </x:c>
      <x:c r="J6" s="3" t="n">
        <x:v>46274.208333333336</x:v>
      </x:c>
      <x:c r="K6" s="5" t="str">
        <x:v>https://mail.example.invalid/thread/SIM-INCA-005</x:v>
      </x:c>
      <x:c r="L6" s="1" t="str">
        <x:v>履修者：SIM-000005
曜日・時限：金曜2限
授業名：サンプル情報設計
教員名：架空担当C
更新内容：
・課題（仮想課題-005）が追加されました。（2026/09/10 08:00）
参照：https://portal.example.invalid/demo/SIM-INCA-005</x:v>
      </x:c>
      <x:c r="M6" s="1" t="str">
        <x:v>未確認</x:v>
      </x:c>
      <x:c r="N6" t="str"/>
      <x:c r="O6" t="str"/>
      <x:c r="P6" t="str"/>
    </x:row>
    <x:row r="7">
      <x:c r="A7" s="3" t="n">
        <x:v>46274.208333333336</x:v>
      </x:c>
      <x:c r="B7" s="1" t="str">
        <x:v>SIM-INCA-006</x:v>
      </x:c>
      <x:c r="C7" s="1" t="str">
        <x:v>inCampus</x:v>
      </x:c>
      <x:c r="D7" s="1" t="str">
        <x:v>架空データ解析</x:v>
      </x:c>
      <x:c r="E7" s="1" t="str">
        <x:v>仮想課題-006</x:v>
      </x:c>
      <x:c r="F7" s="3" t="n">
        <x:v>46274.62430555555</x:v>
      </x:c>
      <x:c r="G7" s="1" t="str">
        <x:v>期限検出</x:v>
      </x:c>
      <x:c r="H7" s="1" t="str">
        <x:v>新しい課題: 仮想課題-006</x:v>
      </x:c>
      <x:c r="I7" s="1" t="str">
        <x:v>架空担当A &lt;fixture-006@example.invalid&gt;</x:v>
      </x:c>
      <x:c r="J7" s="3" t="n">
        <x:v>46274.25</x:v>
      </x:c>
      <x:c r="K7" s="5" t="str">
        <x:v>https://mail.example.invalid/thread/SIM-INCA-006</x:v>
      </x:c>
      <x:c r="L7" s="1" t="str">
        <x:v>履修者：SIM-000006
曜日・時限：月曜1限
授業名：架空データ解析
教員名：架空担当A
更新内容：
・課題（仮想課題-006）が追加されました。（2026/09/10 08:00）
参照：https://portal.example.invalid/demo/SIM-INCA-006</x:v>
      </x:c>
      <x:c r="M7" s="1" t="str">
        <x:v>未確認</x:v>
      </x:c>
      <x:c r="N7" t="str"/>
      <x:c r="O7" t="str"/>
      <x:c r="P7" t="str"/>
    </x:row>
    <x:row r="8">
      <x:c r="A8" s="3" t="n">
        <x:v>46274.25</x:v>
      </x:c>
      <x:c r="B8" s="1" t="str">
        <x:v>SIM-INCA-007</x:v>
      </x:c>
      <x:c r="C8" s="1" t="str">
        <x:v>inCampus</x:v>
      </x:c>
      <x:c r="D8" s="1" t="str">
        <x:v>仮想心理演習</x:v>
      </x:c>
      <x:c r="E8" s="1" t="str">
        <x:v>仮想課題-007</x:v>
      </x:c>
      <x:c r="F8" s="3" t="n">
        <x:v>46275.62430555555</x:v>
      </x:c>
      <x:c r="G8" s="1" t="str">
        <x:v>期限検出</x:v>
      </x:c>
      <x:c r="H8" s="1" t="str">
        <x:v>新しい課題: 仮想課題-007</x:v>
      </x:c>
      <x:c r="I8" s="1" t="str">
        <x:v>架空担当B &lt;fixture-007@example.invalid&gt;</x:v>
      </x:c>
      <x:c r="J8" s="3" t="n">
        <x:v>46274.291666666664</x:v>
      </x:c>
      <x:c r="K8" s="5" t="str">
        <x:v>https://mail.example.invalid/thread/SIM-INCA-007</x:v>
      </x:c>
      <x:c r="L8" s="1" t="str">
        <x:v>履修者：SIM-000007
曜日・時限：火曜3限
授業名：仮想心理演習
教員名：架空担当B
更新内容：
・課題（仮想課題-007）が追加されました。（2026/09/10 08:00）
参照：https://portal.example.invalid/demo/SIM-INCA-007</x:v>
      </x:c>
      <x:c r="M8" s="1" t="str">
        <x:v>未確認</x:v>
      </x:c>
      <x:c r="N8" t="str"/>
      <x:c r="O8" t="str"/>
      <x:c r="P8" t="str"/>
    </x:row>
    <x:row r="9">
      <x:c r="A9" s="3" t="n">
        <x:v>46274.291666666664</x:v>
      </x:c>
      <x:c r="B9" s="1" t="str">
        <x:v>SIM-INCA-008</x:v>
      </x:c>
      <x:c r="C9" s="1" t="str">
        <x:v>inCampus</x:v>
      </x:c>
      <x:c r="D9" s="1" t="str">
        <x:v>サンプル情報設計</x:v>
      </x:c>
      <x:c r="E9" s="1" t="str">
        <x:v>仮想課題-008</x:v>
      </x:c>
      <x:c r="F9" s="3" t="n">
        <x:v>46276.62430555555</x:v>
      </x:c>
      <x:c r="G9" s="1" t="str">
        <x:v>期限検出</x:v>
      </x:c>
      <x:c r="H9" s="1" t="str">
        <x:v>新しい課題: 仮想課題-008</x:v>
      </x:c>
      <x:c r="I9" s="1" t="str">
        <x:v>架空担当C &lt;fixture-008@example.invalid&gt;</x:v>
      </x:c>
      <x:c r="J9" s="3" t="n">
        <x:v>46274</x:v>
      </x:c>
      <x:c r="K9" s="5" t="str">
        <x:v>https://mail.example.invalid/thread/SIM-INCA-008</x:v>
      </x:c>
      <x:c r="L9" s="1" t="str">
        <x:v>履修者：SIM-000008
曜日・時限：金曜2限
授業名：サンプル情報設計
教員名：架空担当C
更新内容：
・課題（仮想課題-008）が追加されました。（2026/09/10 08:00）
参照：https://portal.example.invalid/demo/SIM-INCA-008</x:v>
      </x:c>
      <x:c r="M9" s="1" t="str">
        <x:v>未確認</x:v>
      </x:c>
      <x:c r="N9" s="3" t="str"/>
      <x:c r="O9" t="str"/>
      <x:c r="P9" t="str"/>
    </x:row>
    <x:row r="10">
      <x:c r="A10" s="3" t="n">
        <x:v>46273.958333333336</x:v>
      </x:c>
      <x:c r="B10" s="1" t="str">
        <x:v>SIM-INCA-009</x:v>
      </x:c>
      <x:c r="C10" s="1" t="str">
        <x:v>inCampus</x:v>
      </x:c>
      <x:c r="D10" s="1" t="str">
        <x:v>架空データ解析</x:v>
      </x:c>
      <x:c r="E10" s="1" t="str">
        <x:v>仮想課題-009</x:v>
      </x:c>
      <x:c r="F10" s="3" t="n">
        <x:v>46277.62430555555</x:v>
      </x:c>
      <x:c r="G10" s="1" t="str">
        <x:v>期限検出</x:v>
      </x:c>
      <x:c r="H10" s="1" t="str">
        <x:v>新しい課題: 仮想課題-009</x:v>
      </x:c>
      <x:c r="I10" s="1" t="str">
        <x:v>架空担当A &lt;fixture-009@example.invalid&gt;</x:v>
      </x:c>
      <x:c r="J10" s="3" t="n">
        <x:v>46274.041666666664</x:v>
      </x:c>
      <x:c r="K10" s="5" t="str">
        <x:v>https://mail.example.invalid/thread/SIM-INCA-009</x:v>
      </x:c>
      <x:c r="L10" s="1" t="str">
        <x:v>履修者：SIM-000009
曜日・時限：月曜1限
授業名：架空データ解析
教員名：架空担当A
更新内容：
・課題（仮想課題-009）が追加されました。（2026/09/10 08:00）
参照：https://portal.example.invalid/demo/SIM-INCA-009</x:v>
      </x:c>
      <x:c r="M10" s="1" t="str">
        <x:v>未確認</x:v>
      </x:c>
      <x:c r="N10" s="3" t="str"/>
      <x:c r="O10" t="str"/>
      <x:c r="P10" t="str"/>
    </x:row>
    <x:row r="11">
      <x:c r="A11" s="3" t="n">
        <x:v>46274</x:v>
      </x:c>
      <x:c r="B11" s="1" t="str">
        <x:v>SIM-INCA-010</x:v>
      </x:c>
      <x:c r="C11" s="1" t="str">
        <x:v>inCampus</x:v>
      </x:c>
      <x:c r="D11" s="1" t="str">
        <x:v>仮想心理演習</x:v>
      </x:c>
      <x:c r="E11" s="1" t="str">
        <x:v>仮想課題-010</x:v>
      </x:c>
      <x:c r="F11" s="3" t="n">
        <x:v>46278.62430555555</x:v>
      </x:c>
      <x:c r="G11" s="1" t="str">
        <x:v>期限検出</x:v>
      </x:c>
      <x:c r="H11" s="1" t="str">
        <x:v>新しい課題: 仮想課題-010</x:v>
      </x:c>
      <x:c r="I11" s="1" t="str">
        <x:v>架空担当B &lt;fixture-010@example.invalid&gt;</x:v>
      </x:c>
      <x:c r="J11" s="3" t="n">
        <x:v>46274.083333333336</x:v>
      </x:c>
      <x:c r="K11" s="5" t="str">
        <x:v>https://mail.example.invalid/thread/SIM-INCA-010</x:v>
      </x:c>
      <x:c r="L11" s="1" t="str">
        <x:v>履修者：SIM-000010
曜日・時限：火曜3限
授業名：仮想心理演習
教員名：架空担当B
更新内容：
・課題（仮想課題-010）が追加されました。（2026/09/10 08:00）
参照：https://portal.example.invalid/demo/SIM-INCA-010</x:v>
      </x:c>
      <x:c r="M11" s="1" t="str">
        <x:v>未確認</x:v>
      </x:c>
      <x:c r="N11" t="str"/>
      <x:c r="O11" t="str"/>
      <x:c r="P11" t="str"/>
    </x:row>
    <x:row r="12">
      <x:c r="A12" s="3" t="n">
        <x:v>46274.041666666664</x:v>
      </x:c>
      <x:c r="B12" s="1" t="str">
        <x:v>SIM-INCA-011</x:v>
      </x:c>
      <x:c r="C12" s="1" t="str">
        <x:v>inCampus</x:v>
      </x:c>
      <x:c r="D12" s="1" t="str">
        <x:v>サンプル情報設計</x:v>
      </x:c>
      <x:c r="E12" s="1" t="str">
        <x:v>仮想課題-011</x:v>
      </x:c>
      <x:c r="F12" s="3" t="n">
        <x:v>46279.62430555555</x:v>
      </x:c>
      <x:c r="G12" s="1" t="str">
        <x:v>期限検出</x:v>
      </x:c>
      <x:c r="H12" s="1" t="str">
        <x:v>新しい課題: 仮想課題-011</x:v>
      </x:c>
      <x:c r="I12" s="1" t="str">
        <x:v>架空担当C &lt;fixture-011@example.invalid&gt;</x:v>
      </x:c>
      <x:c r="J12" s="3" t="n">
        <x:v>46274.125</x:v>
      </x:c>
      <x:c r="K12" s="5" t="str">
        <x:v>https://mail.example.invalid/thread/SIM-INCA-011</x:v>
      </x:c>
      <x:c r="L12" s="1" t="str">
        <x:v>履修者：SIM-000011
曜日・時限：金曜2限
授業名：サンプル情報設計
教員名：架空担当C
更新内容：
・課題（仮想課題-011）が追加されました。（2026/09/10 08:00）
参照：https://portal.example.invalid/demo/SIM-INCA-011</x:v>
      </x:c>
      <x:c r="M12" s="1" t="str">
        <x:v>未確認</x:v>
      </x:c>
      <x:c r="N12" t="str"/>
      <x:c r="O12" t="str"/>
      <x:c r="P12" t="str"/>
    </x:row>
    <x:row r="13">
      <x:c r="A13" s="3" t="n">
        <x:v>46274.083333333336</x:v>
      </x:c>
      <x:c r="B13" s="1" t="str">
        <x:v>SIM-INCA-012</x:v>
      </x:c>
      <x:c r="C13" s="1" t="str">
        <x:v>inCampus</x:v>
      </x:c>
      <x:c r="D13" s="1" t="str">
        <x:v>架空データ解析</x:v>
      </x:c>
      <x:c r="E13" s="1" t="str">
        <x:v>仮想課題-012</x:v>
      </x:c>
      <x:c r="F13" s="3" t="n">
        <x:v>46280.62430555555</x:v>
      </x:c>
      <x:c r="G13" s="1" t="str">
        <x:v>期限検出</x:v>
      </x:c>
      <x:c r="H13" s="1" t="str">
        <x:v>新しい課題: 仮想課題-012</x:v>
      </x:c>
      <x:c r="I13" s="1" t="str">
        <x:v>架空担当A &lt;fixture-012@example.invalid&gt;</x:v>
      </x:c>
      <x:c r="J13" s="3" t="n">
        <x:v>46274.166666666664</x:v>
      </x:c>
      <x:c r="K13" s="5" t="str">
        <x:v>https://mail.example.invalid/thread/SIM-INCA-012</x:v>
      </x:c>
      <x:c r="L13" s="1" t="str">
        <x:v>履修者：SIM-000012
曜日・時限：月曜1限
授業名：架空データ解析
教員名：架空担当A
更新内容：
・課題（仮想課題-012）が追加されました。（2026/09/10 08:00）
参照：https://portal.example.invalid/demo/SIM-INCA-012</x:v>
      </x:c>
      <x:c r="M13" s="1" t="str">
        <x:v>未確認</x:v>
      </x:c>
      <x:c r="N13" t="str"/>
      <x:c r="O13" t="str"/>
      <x:c r="P13" t="str"/>
    </x:row>
    <x:row r="14">
      <x:c r="A14" s="3" t="n">
        <x:v>46274.125</x:v>
      </x:c>
      <x:c r="B14" s="1" t="str">
        <x:v>SIM-INCA-013</x:v>
      </x:c>
      <x:c r="C14" s="1" t="str">
        <x:v>inCampus</x:v>
      </x:c>
      <x:c r="D14" s="1" t="str">
        <x:v>仮想心理演習</x:v>
      </x:c>
      <x:c r="E14" s="1" t="str">
        <x:v>仮想お知らせ-013</x:v>
      </x:c>
      <x:c r="F14" s="3" t="str"/>
      <x:c r="G14" s="1" t="str">
        <x:v>期限未検出・要確認</x:v>
      </x:c>
      <x:c r="H14" s="1" t="str">
        <x:v>新しいお知らせ: 仮想お知らせ-013</x:v>
      </x:c>
      <x:c r="I14" s="1" t="str">
        <x:v>架空担当B &lt;fixture-013@example.invalid&gt;</x:v>
      </x:c>
      <x:c r="J14" s="3" t="n">
        <x:v>46274.208333333336</x:v>
      </x:c>
      <x:c r="K14" s="5" t="str">
        <x:v>https://mail.example.invalid/thread/SIM-INCA-013</x:v>
      </x:c>
      <x:c r="L14" s="1" t="str">
        <x:v>履修者：SIM-000013
曜日・時限：火曜3限
授業名：仮想心理演習
教員名：架空担当B
更新内容：
・お知らせ（仮想お知らせ-013）が追加されました。（2026/09/10 08:00）
参照：https://portal.example.invalid/demo/SIM-INCA-013</x:v>
      </x:c>
      <x:c r="M14" s="1" t="str">
        <x:v>未確認</x:v>
      </x:c>
      <x:c r="N14" t="str"/>
      <x:c r="O14" t="str"/>
      <x:c r="P14" t="str"/>
    </x:row>
    <x:row r="15">
      <x:c r="A15" s="3" t="n">
        <x:v>46274.166666666664</x:v>
      </x:c>
      <x:c r="B15" s="1" t="str">
        <x:v>SIM-INCA-014</x:v>
      </x:c>
      <x:c r="C15" s="1" t="str">
        <x:v>inCampus</x:v>
      </x:c>
      <x:c r="D15" s="1" t="str">
        <x:v>サンプル情報設計</x:v>
      </x:c>
      <x:c r="E15" s="1" t="str">
        <x:v>仮想課題-014</x:v>
      </x:c>
      <x:c r="F15" s="3" t="n">
        <x:v>46282.62430555555</x:v>
      </x:c>
      <x:c r="G15" s="1" t="str">
        <x:v>期限検出</x:v>
      </x:c>
      <x:c r="H15" s="1" t="str">
        <x:v>新しい課題: 仮想課題-014</x:v>
      </x:c>
      <x:c r="I15" s="1" t="str">
        <x:v>架空担当C &lt;fixture-014@example.invalid&gt;</x:v>
      </x:c>
      <x:c r="J15" s="3" t="n">
        <x:v>46274.25</x:v>
      </x:c>
      <x:c r="K15" s="5" t="str">
        <x:v>https://mail.example.invalid/thread/SIM-INCA-014</x:v>
      </x:c>
      <x:c r="L15" s="1" t="str">
        <x:v>履修者：SIM-000014
曜日・時限：金曜2限
授業名：サンプル情報設計
教員名：架空担当C
更新内容：
・課題（仮想課題-014）が追加されました。（2026/09/10 08:00）
参照：https://portal.example.invalid/demo/SIM-INCA-014</x:v>
      </x:c>
      <x:c r="M15" s="1" t="str">
        <x:v>未確認</x:v>
      </x:c>
      <x:c r="N15" t="str"/>
      <x:c r="O15" t="str"/>
      <x:c r="P15" t="str"/>
    </x:row>
    <x:row r="16">
      <x:c r="A16" s="3" t="n">
        <x:v>46274.208333333336</x:v>
      </x:c>
      <x:c r="B16" s="1" t="str">
        <x:v>SIM-INCA-015</x:v>
      </x:c>
      <x:c r="C16" s="1" t="str">
        <x:v>inCampus</x:v>
      </x:c>
      <x:c r="D16" s="1" t="str">
        <x:v>架空データ解析</x:v>
      </x:c>
      <x:c r="E16" s="1" t="str">
        <x:v>仮想課題-015</x:v>
      </x:c>
      <x:c r="F16" s="3" t="n">
        <x:v>46283.62430555555</x:v>
      </x:c>
      <x:c r="G16" s="1" t="str">
        <x:v>期限検出</x:v>
      </x:c>
      <x:c r="H16" s="1" t="str">
        <x:v>新しい課題: 仮想課題-015</x:v>
      </x:c>
      <x:c r="I16" s="1" t="str">
        <x:v>架空担当A &lt;fixture-015@example.invalid&gt;</x:v>
      </x:c>
      <x:c r="J16" s="3" t="n">
        <x:v>46274.291666666664</x:v>
      </x:c>
      <x:c r="K16" s="5" t="str">
        <x:v>https://mail.example.invalid/thread/SIM-INCA-015</x:v>
      </x:c>
      <x:c r="L16" s="1" t="str">
        <x:v>履修者：SIM-000015
曜日・時限：月曜1限
授業名：架空データ解析
教員名：架空担当A
更新内容：
・課題（仮想課題-015）が追加されました。（2026/09/10 08:00）
参照：https://portal.example.invalid/demo/SIM-INCA-015</x:v>
      </x:c>
      <x:c r="M16" s="1" t="str">
        <x:v>未確認</x:v>
      </x:c>
      <x:c r="N16" t="str"/>
      <x:c r="O16" t="str"/>
      <x:c r="P16" t="str"/>
    </x:row>
    <x:row r="17">
      <x:c r="A17" s="3" t="n">
        <x:v>46274.25</x:v>
      </x:c>
      <x:c r="B17" s="1" t="str">
        <x:v>SIM-INCA-016</x:v>
      </x:c>
      <x:c r="C17" s="1" t="str">
        <x:v>inCampus</x:v>
      </x:c>
      <x:c r="D17" s="1" t="str">
        <x:v>仮想心理演習</x:v>
      </x:c>
      <x:c r="E17" s="1" t="str">
        <x:v>仮想課題-016</x:v>
      </x:c>
      <x:c r="F17" s="3" t="n">
        <x:v>46284.62430555555</x:v>
      </x:c>
      <x:c r="G17" s="1" t="str">
        <x:v>期限検出</x:v>
      </x:c>
      <x:c r="H17" s="1" t="str">
        <x:v>新しい課題: 仮想課題-016</x:v>
      </x:c>
      <x:c r="I17" s="1" t="str">
        <x:v>架空担当B &lt;fixture-016@example.invalid&gt;</x:v>
      </x:c>
      <x:c r="J17" s="3" t="n">
        <x:v>46274</x:v>
      </x:c>
      <x:c r="K17" s="5" t="str">
        <x:v>https://mail.example.invalid/thread/SIM-INCA-016</x:v>
      </x:c>
      <x:c r="L17" s="1" t="str">
        <x:v>履修者：SIM-000016
曜日・時限：火曜3限
授業名：仮想心理演習
教員名：架空担当B
更新内容：
・課題（仮想課題-016）が追加されました。（2026/09/10 08:00）
参照：https://portal.example.invalid/demo/SIM-INCA-016</x:v>
      </x:c>
      <x:c r="M17" s="1" t="str">
        <x:v>未確認</x:v>
      </x:c>
      <x:c r="N17" t="str"/>
      <x:c r="O17" t="str"/>
      <x:c r="P17" t="str"/>
    </x:row>
    <x:row r="18">
      <x:c r="A18" s="3" t="n">
        <x:v>46274.291666666664</x:v>
      </x:c>
      <x:c r="B18" s="1" t="str">
        <x:v>SIM-INCA-017</x:v>
      </x:c>
      <x:c r="C18" s="1" t="str">
        <x:v>inCampus</x:v>
      </x:c>
      <x:c r="D18" s="1" t="str">
        <x:v>サンプル情報設計</x:v>
      </x:c>
      <x:c r="E18" s="1" t="str">
        <x:v>仮想課題-017</x:v>
      </x:c>
      <x:c r="F18" s="3" t="n">
        <x:v>46285.62430555555</x:v>
      </x:c>
      <x:c r="G18" s="1" t="str">
        <x:v>期限検出</x:v>
      </x:c>
      <x:c r="H18" s="1" t="str">
        <x:v>新しい課題: 仮想課題-017</x:v>
      </x:c>
      <x:c r="I18" s="1" t="str">
        <x:v>架空担当C &lt;fixture-017@example.invalid&gt;</x:v>
      </x:c>
      <x:c r="J18" s="3" t="n">
        <x:v>46274.041666666664</x:v>
      </x:c>
      <x:c r="K18" s="5" t="str">
        <x:v>https://mail.example.invalid/thread/SIM-INCA-017</x:v>
      </x:c>
      <x:c r="L18" s="1" t="str">
        <x:v>履修者：SIM-000017
曜日・時限：金曜2限
授業名：サンプル情報設計
教員名：架空担当C
更新内容：
・課題（仮想課題-017）が追加されました。（2026/09/10 08:00）
参照：https://portal.example.invalid/demo/SIM-INCA-017</x:v>
      </x:c>
      <x:c r="M18" s="1" t="str">
        <x:v>未確認</x:v>
      </x:c>
      <x:c r="N18" t="str"/>
      <x:c r="O18" t="str"/>
      <x:c r="P18" t="str"/>
    </x:row>
    <x:row r="19">
      <x:c r="A19" s="3" t="n">
        <x:v>46273.958333333336</x:v>
      </x:c>
      <x:c r="B19" s="1" t="str">
        <x:v>SIM-INCA-018</x:v>
      </x:c>
      <x:c r="C19" s="1" t="str">
        <x:v>inCampus</x:v>
      </x:c>
      <x:c r="D19" s="1" t="str">
        <x:v>架空データ解析</x:v>
      </x:c>
      <x:c r="E19" s="1" t="str">
        <x:v>仮想課題-018</x:v>
      </x:c>
      <x:c r="F19" s="3" t="n">
        <x:v>46268.62430555555</x:v>
      </x:c>
      <x:c r="G19" s="1" t="str">
        <x:v>期限検出</x:v>
      </x:c>
      <x:c r="H19" s="1" t="str">
        <x:v>新しい課題: 仮想課題-018</x:v>
      </x:c>
      <x:c r="I19" s="1" t="str">
        <x:v>架空担当A &lt;fixture-018@example.invalid&gt;</x:v>
      </x:c>
      <x:c r="J19" s="3" t="n">
        <x:v>46274.083333333336</x:v>
      </x:c>
      <x:c r="K19" s="5" t="str">
        <x:v>https://mail.example.invalid/thread/SIM-INCA-018</x:v>
      </x:c>
      <x:c r="L19" s="1" t="str">
        <x:v>履修者：SIM-000018
曜日・時限：月曜1限
授業名：架空データ解析
教員名：架空担当A
更新内容：
・課題（仮想課題-018）が追加されました。（2026/09/10 08:00）
参照：https://portal.example.invalid/demo/SIM-INCA-018</x:v>
      </x:c>
      <x:c r="M19" s="1" t="str">
        <x:v>未確認</x:v>
      </x:c>
      <x:c r="N19" t="str"/>
      <x:c r="O19" t="str"/>
      <x:c r="P19" t="str"/>
    </x:row>
    <x:row r="20">
      <x:c r="A20" s="3" t="n">
        <x:v>46274</x:v>
      </x:c>
      <x:c r="B20" s="1" t="str">
        <x:v>SIM-INCA-019</x:v>
      </x:c>
      <x:c r="C20" s="1" t="str">
        <x:v>inCampus</x:v>
      </x:c>
      <x:c r="D20" s="1" t="str">
        <x:v>仮想心理演習</x:v>
      </x:c>
      <x:c r="E20" s="1" t="str">
        <x:v>仮想課題-019</x:v>
      </x:c>
      <x:c r="F20" s="3" t="n">
        <x:v>46269.62430555555</x:v>
      </x:c>
      <x:c r="G20" s="1" t="str">
        <x:v>期限検出</x:v>
      </x:c>
      <x:c r="H20" s="1" t="str">
        <x:v>新しい課題: 仮想課題-019</x:v>
      </x:c>
      <x:c r="I20" s="1" t="str">
        <x:v>架空担当B &lt;fixture-019@example.invalid&gt;</x:v>
      </x:c>
      <x:c r="J20" s="3" t="n">
        <x:v>46274.125</x:v>
      </x:c>
      <x:c r="K20" s="5" t="str">
        <x:v>https://mail.example.invalid/thread/SIM-INCA-019</x:v>
      </x:c>
      <x:c r="L20" s="1" t="str">
        <x:v>履修者：SIM-000019
曜日・時限：火曜3限
授業名：仮想心理演習
教員名：架空担当B
更新内容：
・課題（仮想課題-019）が追加されました。（2026/09/10 08:00）
参照：https://portal.example.invalid/demo/SIM-INCA-019</x:v>
      </x:c>
      <x:c r="M20" s="1" t="str">
        <x:v>未確認</x:v>
      </x:c>
      <x:c r="N20" t="str"/>
      <x:c r="O20" t="str"/>
      <x:c r="P20" t="str"/>
    </x:row>
    <x:row r="21">
      <x:c r="A21" s="3" t="n">
        <x:v>46274.041666666664</x:v>
      </x:c>
      <x:c r="B21" s="1" t="str">
        <x:v>SIM-INCA-020</x:v>
      </x:c>
      <x:c r="C21" s="1" t="str">
        <x:v>inCampus</x:v>
      </x:c>
      <x:c r="D21" s="1" t="str">
        <x:v>サンプル情報設計</x:v>
      </x:c>
      <x:c r="E21" s="1" t="str">
        <x:v>仮想課題-020</x:v>
      </x:c>
      <x:c r="F21" s="3" t="n">
        <x:v>46270.62430555555</x:v>
      </x:c>
      <x:c r="G21" s="1" t="str">
        <x:v>期限検出</x:v>
      </x:c>
      <x:c r="H21" s="1" t="str">
        <x:v>新しい課題: 仮想課題-020</x:v>
      </x:c>
      <x:c r="I21" s="1" t="str">
        <x:v>架空担当C &lt;fixture-020@example.invalid&gt;</x:v>
      </x:c>
      <x:c r="J21" s="3" t="n">
        <x:v>46274.166666666664</x:v>
      </x:c>
      <x:c r="K21" s="5" t="str">
        <x:v>https://mail.example.invalid/thread/SIM-INCA-020</x:v>
      </x:c>
      <x:c r="L21" s="1" t="str">
        <x:v>履修者：SIM-000020
曜日・時限：金曜2限
授業名：サンプル情報設計
教員名：架空担当C
更新内容：
・課題（仮想課題-020）が追加されました。（2026/09/10 08:00）
参照：https://portal.example.invalid/demo/SIM-INCA-020</x:v>
      </x:c>
      <x:c r="M21" s="1" t="str">
        <x:v>未確認</x:v>
      </x:c>
      <x:c r="N21" t="str"/>
      <x:c r="O21" t="str"/>
      <x:c r="P21" t="str"/>
    </x:row>
    <x:row r="22">
      <x:c r="A22" s="3" t="n">
        <x:v>46274.083333333336</x:v>
      </x:c>
      <x:c r="B22" s="1" t="str">
        <x:v>SIM-INCA-021</x:v>
      </x:c>
      <x:c r="C22" s="1" t="str">
        <x:v>inCampus</x:v>
      </x:c>
      <x:c r="D22" s="1" t="str">
        <x:v>架空データ解析</x:v>
      </x:c>
      <x:c r="E22" s="1" t="str">
        <x:v>仮想課題-021</x:v>
      </x:c>
      <x:c r="F22" s="3" t="n">
        <x:v>46271.62430555555</x:v>
      </x:c>
      <x:c r="G22" s="1" t="str">
        <x:v>期限検出</x:v>
      </x:c>
      <x:c r="H22" s="1" t="str">
        <x:v>新しい課題: 仮想課題-021</x:v>
      </x:c>
      <x:c r="I22" s="1" t="str">
        <x:v>架空担当A &lt;fixture-021@example.invalid&gt;</x:v>
      </x:c>
      <x:c r="J22" s="3" t="n">
        <x:v>46274.208333333336</x:v>
      </x:c>
      <x:c r="K22" s="5" t="str">
        <x:v>https://mail.example.invalid/thread/SIM-INCA-021</x:v>
      </x:c>
      <x:c r="L22" s="1" t="str">
        <x:v>履修者：SIM-000021
曜日・時限：月曜1限
授業名：架空データ解析
教員名：架空担当A
更新内容：
・課題（仮想課題-021）が追加されました。（2026/09/10 08:00）
参照：https://portal.example.invalid/demo/SIM-INCA-021</x:v>
      </x:c>
      <x:c r="M22" s="1" t="str">
        <x:v>未確認</x:v>
      </x:c>
      <x:c r="N22" t="str"/>
      <x:c r="O22" t="str"/>
      <x:c r="P22" t="str"/>
    </x:row>
    <x:row r="23">
      <x:c r="A23" s="3" t="n">
        <x:v>46274.125</x:v>
      </x:c>
      <x:c r="B23" s="1" t="str">
        <x:v>SIM-INCA-022</x:v>
      </x:c>
      <x:c r="C23" s="1" t="str">
        <x:v>inCampus</x:v>
      </x:c>
      <x:c r="D23" s="1" t="str">
        <x:v>仮想心理演習</x:v>
      </x:c>
      <x:c r="E23" s="1" t="str">
        <x:v>仮想課題-022</x:v>
      </x:c>
      <x:c r="F23" s="3" t="n">
        <x:v>46272.62430555555</x:v>
      </x:c>
      <x:c r="G23" s="1" t="str">
        <x:v>期限検出</x:v>
      </x:c>
      <x:c r="H23" s="1" t="str">
        <x:v>新しい課題: 仮想課題-022</x:v>
      </x:c>
      <x:c r="I23" s="1" t="str">
        <x:v>架空担当B &lt;fixture-022@example.invalid&gt;</x:v>
      </x:c>
      <x:c r="J23" s="3" t="n">
        <x:v>46274.25</x:v>
      </x:c>
      <x:c r="K23" s="5" t="str">
        <x:v>https://mail.example.invalid/thread/SIM-INCA-022</x:v>
      </x:c>
      <x:c r="L23" s="1" t="str">
        <x:v>履修者：SIM-000022
曜日・時限：火曜3限
授業名：仮想心理演習
教員名：架空担当B
更新内容：
・課題（仮想課題-022）が追加されました。（2026/09/10 08:00）
参照：https://portal.example.invalid/demo/SIM-INCA-022</x:v>
      </x:c>
      <x:c r="M23" s="1" t="str">
        <x:v>未確認</x:v>
      </x:c>
      <x:c r="N23" t="str"/>
      <x:c r="O23" t="str"/>
      <x:c r="P23" t="str"/>
    </x:row>
    <x:row r="24">
      <x:c r="A24" s="3" t="n">
        <x:v>46274.166666666664</x:v>
      </x:c>
      <x:c r="B24" s="1" t="str">
        <x:v>SIM-INCA-023</x:v>
      </x:c>
      <x:c r="C24" s="1" t="str">
        <x:v>inCampus</x:v>
      </x:c>
      <x:c r="D24" s="1" t="str">
        <x:v>サンプル情報設計</x:v>
      </x:c>
      <x:c r="E24" s="1" t="str">
        <x:v>仮想課題-023</x:v>
      </x:c>
      <x:c r="F24" s="3" t="n">
        <x:v>46273.62430555555</x:v>
      </x:c>
      <x:c r="G24" s="1" t="str">
        <x:v>期限検出</x:v>
      </x:c>
      <x:c r="H24" s="1" t="str">
        <x:v>新しい課題: 仮想課題-023</x:v>
      </x:c>
      <x:c r="I24" s="1" t="str">
        <x:v>架空担当C &lt;fixture-023@example.invalid&gt;</x:v>
      </x:c>
      <x:c r="J24" s="3" t="n">
        <x:v>46274.291666666664</x:v>
      </x:c>
      <x:c r="K24" s="5" t="str">
        <x:v>https://mail.example.invalid/thread/SIM-INCA-023</x:v>
      </x:c>
      <x:c r="L24" s="1" t="str">
        <x:v>履修者：SIM-000023
曜日・時限：金曜2限
授業名：サンプル情報設計
教員名：架空担当C
更新内容：
・課題（仮想課題-023）が追加されました。（2026/09/10 08:00）
参照：https://portal.example.invalid/demo/SIM-INCA-023</x:v>
      </x:c>
      <x:c r="M24" s="1" t="str">
        <x:v>未確認</x:v>
      </x:c>
      <x:c r="N24" t="str"/>
      <x:c r="O24" t="str"/>
      <x:c r="P24" t="str"/>
    </x:row>
    <x:row r="25">
      <x:c r="A25" s="3" t="n">
        <x:v>46274.208333333336</x:v>
      </x:c>
      <x:c r="B25" s="1" t="str">
        <x:v>SIM-INCA-024</x:v>
      </x:c>
      <x:c r="C25" s="1" t="str">
        <x:v>inCampus</x:v>
      </x:c>
      <x:c r="D25" s="1" t="str">
        <x:v>架空データ解析</x:v>
      </x:c>
      <x:c r="E25" s="1" t="str">
        <x:v>仮想課題-024</x:v>
      </x:c>
      <x:c r="F25" s="3" t="n">
        <x:v>46274.62430555555</x:v>
      </x:c>
      <x:c r="G25" s="1" t="str">
        <x:v>期限検出</x:v>
      </x:c>
      <x:c r="H25" s="1" t="str">
        <x:v>新しい課題: 仮想課題-024</x:v>
      </x:c>
      <x:c r="I25" s="1" t="str">
        <x:v>架空担当A &lt;fixture-024@example.invalid&gt;</x:v>
      </x:c>
      <x:c r="J25" s="3" t="n">
        <x:v>46274</x:v>
      </x:c>
      <x:c r="K25" s="5" t="str">
        <x:v>https://mail.example.invalid/thread/SIM-INCA-024</x:v>
      </x:c>
      <x:c r="L25" s="1" t="str">
        <x:v>履修者：SIM-000024
曜日・時限：月曜1限
授業名：架空データ解析
教員名：架空担当A
更新内容：
・課題（仮想課題-024）が追加されました。（2026/09/10 08:00）
参照：https://portal.example.invalid/demo/SIM-INCA-024</x:v>
      </x:c>
      <x:c r="M25" s="1" t="str">
        <x:v>未確認</x:v>
      </x:c>
      <x:c r="N25" t="str"/>
      <x:c r="O25" t="str"/>
      <x:c r="P25" t="str"/>
    </x:row>
    <x:row r="26">
      <x:c r="A26" s="3" t="n">
        <x:v>46274.25</x:v>
      </x:c>
      <x:c r="B26" s="1" t="str">
        <x:v>SIM-INCA-025</x:v>
      </x:c>
      <x:c r="C26" s="1" t="str">
        <x:v>inCampus</x:v>
      </x:c>
      <x:c r="D26" s="1" t="str">
        <x:v>仮想心理演習</x:v>
      </x:c>
      <x:c r="E26" s="1" t="str">
        <x:v>仮想課題-025</x:v>
      </x:c>
      <x:c r="F26" s="3" t="n">
        <x:v>46275.62430555555</x:v>
      </x:c>
      <x:c r="G26" s="1" t="str">
        <x:v>期限検出</x:v>
      </x:c>
      <x:c r="H26" s="1" t="str">
        <x:v>新しい課題: 仮想課題-025</x:v>
      </x:c>
      <x:c r="I26" s="1" t="str">
        <x:v>架空担当B &lt;fixture-025@example.invalid&gt;</x:v>
      </x:c>
      <x:c r="J26" s="3" t="n">
        <x:v>46274.041666666664</x:v>
      </x:c>
      <x:c r="K26" s="5" t="str">
        <x:v>https://mail.example.invalid/thread/SIM-INCA-025</x:v>
      </x:c>
      <x:c r="L26" s="1" t="str">
        <x:v>履修者：SIM-000025
曜日・時限：火曜3限
授業名：仮想心理演習
教員名：架空担当B
更新内容：
・課題（仮想課題-025）が追加されました。（2026/09/10 08:00）
参照：https://portal.example.invalid/demo/SIM-INCA-025</x:v>
      </x:c>
      <x:c r="M26" s="1" t="str">
        <x:v>未確認</x:v>
      </x:c>
      <x:c r="N26" t="str"/>
      <x:c r="O26" t="str"/>
      <x:c r="P26" t="str"/>
    </x:row>
    <x:row r="27">
      <x:c r="A27" s="3" t="n">
        <x:v>46274.291666666664</x:v>
      </x:c>
      <x:c r="B27" s="1" t="str">
        <x:v>SIM-INCA-026</x:v>
      </x:c>
      <x:c r="C27" s="1" t="str">
        <x:v>inCampus</x:v>
      </x:c>
      <x:c r="D27" s="1" t="str">
        <x:v>サンプル情報設計</x:v>
      </x:c>
      <x:c r="E27" s="1" t="str">
        <x:v>仮想お知らせ-026</x:v>
      </x:c>
      <x:c r="F27" s="3" t="str"/>
      <x:c r="G27" s="1" t="str">
        <x:v>期限未検出・要確認</x:v>
      </x:c>
      <x:c r="H27" s="1" t="str">
        <x:v>新しいお知らせ: 仮想お知らせ-026</x:v>
      </x:c>
      <x:c r="I27" s="1" t="str">
        <x:v>架空担当C &lt;fixture-026@example.invalid&gt;</x:v>
      </x:c>
      <x:c r="J27" s="3" t="n">
        <x:v>46274.083333333336</x:v>
      </x:c>
      <x:c r="K27" s="5" t="str">
        <x:v>https://mail.example.invalid/thread/SIM-INCA-026</x:v>
      </x:c>
      <x:c r="L27" s="1" t="str">
        <x:v>履修者：SIM-000026
曜日・時限：金曜2限
授業名：サンプル情報設計
教員名：架空担当C
更新内容：
・お知らせ（仮想お知らせ-026）が追加されました。（2026/09/10 08:00）
参照：https://portal.example.invalid/demo/SIM-INCA-026</x:v>
      </x:c>
      <x:c r="M27" s="1" t="str">
        <x:v>未確認</x:v>
      </x:c>
      <x:c r="N27" t="str"/>
      <x:c r="O27" t="str"/>
      <x:c r="P27" t="str"/>
    </x:row>
    <x:row r="28">
      <x:c r="A28" s="3" t="n">
        <x:v>46273.958333333336</x:v>
      </x:c>
      <x:c r="B28" s="1" t="str">
        <x:v>SIM-INCA-027</x:v>
      </x:c>
      <x:c r="C28" s="1" t="str">
        <x:v>inCampus</x:v>
      </x:c>
      <x:c r="D28" s="1" t="str">
        <x:v>架空データ解析</x:v>
      </x:c>
      <x:c r="E28" s="1" t="str">
        <x:v>仮想課題-027</x:v>
      </x:c>
      <x:c r="F28" s="3" t="n">
        <x:v>46277.62430555555</x:v>
      </x:c>
      <x:c r="G28" s="1" t="str">
        <x:v>期限検出</x:v>
      </x:c>
      <x:c r="H28" s="1" t="str">
        <x:v>新しい課題: 仮想課題-027</x:v>
      </x:c>
      <x:c r="I28" s="1" t="str">
        <x:v>架空担当A &lt;fixture-027@example.invalid&gt;</x:v>
      </x:c>
      <x:c r="J28" s="3" t="n">
        <x:v>46274.125</x:v>
      </x:c>
      <x:c r="K28" s="5" t="str">
        <x:v>https://mail.example.invalid/thread/SIM-INCA-027</x:v>
      </x:c>
      <x:c r="L28" s="1" t="str">
        <x:v>履修者：SIM-000027
曜日・時限：月曜1限
授業名：架空データ解析
教員名：架空担当A
更新内容：
・課題（仮想課題-027）が追加されました。（2026/09/10 08:00）
参照：https://portal.example.invalid/demo/SIM-INCA-027</x:v>
      </x:c>
      <x:c r="M28" s="1" t="str">
        <x:v>未確認</x:v>
      </x:c>
      <x:c r="N28" t="str"/>
      <x:c r="O28" t="str"/>
      <x:c r="P28" t="str"/>
    </x:row>
    <x:row r="29">
      <x:c r="A29" s="3" t="n">
        <x:v>46274</x:v>
      </x:c>
      <x:c r="B29" s="1" t="str">
        <x:v>SIM-INCA-028</x:v>
      </x:c>
      <x:c r="C29" s="1" t="str">
        <x:v>inCampus</x:v>
      </x:c>
      <x:c r="D29" s="1" t="str">
        <x:v>仮想心理演習</x:v>
      </x:c>
      <x:c r="E29" s="1" t="str">
        <x:v>仮想課題-028</x:v>
      </x:c>
      <x:c r="F29" s="3" t="n">
        <x:v>46278.62430555555</x:v>
      </x:c>
      <x:c r="G29" s="1" t="str">
        <x:v>期限検出</x:v>
      </x:c>
      <x:c r="H29" s="1" t="str">
        <x:v>新しい課題: 仮想課題-028</x:v>
      </x:c>
      <x:c r="I29" s="1" t="str">
        <x:v>架空担当B &lt;fixture-028@example.invalid&gt;</x:v>
      </x:c>
      <x:c r="J29" s="3" t="n">
        <x:v>46274.166666666664</x:v>
      </x:c>
      <x:c r="K29" s="5" t="str">
        <x:v>https://mail.example.invalid/thread/SIM-INCA-028</x:v>
      </x:c>
      <x:c r="L29" s="1" t="str">
        <x:v>履修者：SIM-000028
曜日・時限：火曜3限
授業名：仮想心理演習
教員名：架空担当B
更新内容：
・課題（仮想課題-028）が追加されました。（2026/09/10 08:00）
参照：https://portal.example.invalid/demo/SIM-INCA-028</x:v>
      </x:c>
      <x:c r="M29" s="1" t="str">
        <x:v>未確認</x:v>
      </x:c>
      <x:c r="N29" t="str"/>
      <x:c r="O29" t="str"/>
      <x:c r="P29" t="str"/>
    </x:row>
    <x:row r="30">
      <x:c r="A30" s="3" t="n">
        <x:v>46274.041666666664</x:v>
      </x:c>
      <x:c r="B30" s="1" t="str">
        <x:v>SIM-INCA-029</x:v>
      </x:c>
      <x:c r="C30" s="1" t="str">
        <x:v>inCampus</x:v>
      </x:c>
      <x:c r="D30" s="1" t="str">
        <x:v>サンプル情報設計</x:v>
      </x:c>
      <x:c r="E30" s="1" t="str">
        <x:v>仮想課題-029</x:v>
      </x:c>
      <x:c r="F30" s="3" t="n">
        <x:v>46279.62430555555</x:v>
      </x:c>
      <x:c r="G30" s="1" t="str">
        <x:v>期限検出</x:v>
      </x:c>
      <x:c r="H30" s="1" t="str">
        <x:v>新しい課題: 仮想課題-029</x:v>
      </x:c>
      <x:c r="I30" s="1" t="str">
        <x:v>架空担当C &lt;fixture-029@example.invalid&gt;</x:v>
      </x:c>
      <x:c r="J30" s="3" t="n">
        <x:v>46274.208333333336</x:v>
      </x:c>
      <x:c r="K30" s="5" t="str">
        <x:v>https://mail.example.invalid/thread/SIM-INCA-029</x:v>
      </x:c>
      <x:c r="L30" s="1" t="str">
        <x:v>履修者：SIM-000029
曜日・時限：金曜2限
授業名：サンプル情報設計
教員名：架空担当C
更新内容：
・課題（仮想課題-029）が追加されました。（2026/09/10 08:00）
参照：https://portal.example.invalid/demo/SIM-INCA-029</x:v>
      </x:c>
      <x:c r="M30" s="1" t="str">
        <x:v>未確認</x:v>
      </x:c>
      <x:c r="N30" t="str"/>
      <x:c r="O30" t="str"/>
      <x:c r="P30" t="str"/>
    </x:row>
    <x:row r="31">
      <x:c r="A31" s="3" t="n">
        <x:v>46274.083333333336</x:v>
      </x:c>
      <x:c r="B31" s="1" t="str">
        <x:v>SIM-INCA-030</x:v>
      </x:c>
      <x:c r="C31" s="1" t="str">
        <x:v>inCampus</x:v>
      </x:c>
      <x:c r="D31" s="1" t="str">
        <x:v>架空データ解析</x:v>
      </x:c>
      <x:c r="E31" s="1" t="str">
        <x:v>仮想課題-030</x:v>
      </x:c>
      <x:c r="F31" s="3" t="n">
        <x:v>46280.62430555555</x:v>
      </x:c>
      <x:c r="G31" s="1" t="str">
        <x:v>期限検出</x:v>
      </x:c>
      <x:c r="H31" s="1" t="str">
        <x:v>新しい課題: 仮想課題-030</x:v>
      </x:c>
      <x:c r="I31" s="1" t="str">
        <x:v>架空担当A &lt;fixture-030@example.invalid&gt;</x:v>
      </x:c>
      <x:c r="J31" s="3" t="n">
        <x:v>46274.25</x:v>
      </x:c>
      <x:c r="K31" s="5" t="str">
        <x:v>https://mail.example.invalid/thread/SIM-INCA-030</x:v>
      </x:c>
      <x:c r="L31" s="1" t="str">
        <x:v>履修者：SIM-000030
曜日・時限：月曜1限
授業名：架空データ解析
教員名：架空担当A
更新内容：
・課題（仮想課題-030）が追加されました。（2026/09/10 08:00）
参照：https://portal.example.invalid/demo/SIM-INCA-030</x:v>
      </x:c>
      <x:c r="M31" s="1" t="str">
        <x:v>未確認</x:v>
      </x:c>
      <x:c r="N31" t="str"/>
      <x:c r="O31" t="str"/>
      <x:c r="P31" t="str"/>
    </x:row>
    <x:row r="32">
      <x:c r="A32" s="3" t="n">
        <x:v>46274.125</x:v>
      </x:c>
      <x:c r="B32" s="1" t="str">
        <x:v>SIM-INCA-031</x:v>
      </x:c>
      <x:c r="C32" s="1" t="str">
        <x:v>inCampus</x:v>
      </x:c>
      <x:c r="D32" s="1" t="str">
        <x:v>仮想心理演習</x:v>
      </x:c>
      <x:c r="E32" s="1" t="str">
        <x:v>仮想課題-031</x:v>
      </x:c>
      <x:c r="F32" s="3" t="n">
        <x:v>46281.62430555555</x:v>
      </x:c>
      <x:c r="G32" s="1" t="str">
        <x:v>期限検出</x:v>
      </x:c>
      <x:c r="H32" s="1" t="str">
        <x:v>新しい課題: 仮想課題-031</x:v>
      </x:c>
      <x:c r="I32" s="1" t="str">
        <x:v>架空担当B &lt;fixture-031@example.invalid&gt;</x:v>
      </x:c>
      <x:c r="J32" s="3" t="n">
        <x:v>46274.291666666664</x:v>
      </x:c>
      <x:c r="K32" s="5" t="str">
        <x:v>https://mail.example.invalid/thread/SIM-INCA-031</x:v>
      </x:c>
      <x:c r="L32" s="1" t="str">
        <x:v>履修者：SIM-000031
曜日・時限：火曜3限
授業名：仮想心理演習
教員名：架空担当B
更新内容：
・課題（仮想課題-031）が追加されました。（2026/09/10 08:00）
参照：https://portal.example.invalid/demo/SIM-INCA-031</x:v>
      </x:c>
      <x:c r="M32" s="1" t="str">
        <x:v>未確認</x:v>
      </x:c>
      <x:c r="N32" t="str"/>
      <x:c r="O32" t="str"/>
      <x:c r="P32" t="str"/>
    </x:row>
    <x:row r="33">
      <x:c r="A33" s="3" t="n">
        <x:v>46274.166666666664</x:v>
      </x:c>
      <x:c r="B33" s="1" t="str">
        <x:v>SIM-INCA-032</x:v>
      </x:c>
      <x:c r="C33" s="1" t="str">
        <x:v>inCampus</x:v>
      </x:c>
      <x:c r="D33" s="1" t="str">
        <x:v>サンプル情報設計</x:v>
      </x:c>
      <x:c r="E33" s="1" t="str">
        <x:v>仮想課題-032</x:v>
      </x:c>
      <x:c r="F33" s="3" t="n">
        <x:v>46282.62430555555</x:v>
      </x:c>
      <x:c r="G33" s="1" t="str">
        <x:v>期限検出</x:v>
      </x:c>
      <x:c r="H33" s="1" t="str">
        <x:v>新しい課題: 仮想課題-032</x:v>
      </x:c>
      <x:c r="I33" s="1" t="str">
        <x:v>架空担当C &lt;fixture-032@example.invalid&gt;</x:v>
      </x:c>
      <x:c r="J33" s="3" t="n">
        <x:v>46274</x:v>
      </x:c>
      <x:c r="K33" s="5" t="str">
        <x:v>https://mail.example.invalid/thread/SIM-INCA-032</x:v>
      </x:c>
      <x:c r="L33" s="1" t="str">
        <x:v>履修者：SIM-000032
曜日・時限：金曜2限
授業名：サンプル情報設計
教員名：架空担当C
更新内容：
・課題（仮想課題-032）が追加されました。（2026/09/10 08:00）
参照：https://portal.example.invalid/demo/SIM-INCA-032</x:v>
      </x:c>
      <x:c r="M33" s="1" t="str">
        <x:v>未確認</x:v>
      </x:c>
      <x:c r="N33" t="str"/>
      <x:c r="O33" t="str"/>
      <x:c r="P33" t="str"/>
    </x:row>
    <x:row r="34">
      <x:c r="A34" s="3" t="n">
        <x:v>46274.208333333336</x:v>
      </x:c>
      <x:c r="B34" s="1" t="str">
        <x:v>SIM-INCA-033</x:v>
      </x:c>
      <x:c r="C34" s="1" t="str">
        <x:v>inCampus</x:v>
      </x:c>
      <x:c r="D34" s="1" t="str">
        <x:v>架空データ解析</x:v>
      </x:c>
      <x:c r="E34" s="1" t="str">
        <x:v>仮想課題-033</x:v>
      </x:c>
      <x:c r="F34" s="3" t="n">
        <x:v>46275</x:v>
      </x:c>
      <x:c r="G34" s="1" t="str">
        <x:v>期限検出</x:v>
      </x:c>
      <x:c r="H34" s="1" t="str">
        <x:v>新しい課題: 仮想課題-033</x:v>
      </x:c>
      <x:c r="I34" s="1" t="str">
        <x:v>架空担当A &lt;fixture-033@example.invalid&gt;</x:v>
      </x:c>
      <x:c r="J34" s="3" t="n">
        <x:v>46274.041666666664</x:v>
      </x:c>
      <x:c r="K34" s="5" t="str">
        <x:v>https://mail.example.invalid/thread/SIM-INCA-033</x:v>
      </x:c>
      <x:c r="L34" s="1" t="str">
        <x:v>履修者：SIM-000033
曜日・時限：月曜1限
授業名：架空データ解析
教員名：架空担当A
更新内容：
・課題（仮想課題-033）が追加されました。（2026/09/10 08:00）
参照：https://portal.example.invalid/demo/SIM-INCA-033</x:v>
      </x:c>
      <x:c r="M34" s="1" t="str">
        <x:v>未確認</x:v>
      </x:c>
      <x:c r="N34" t="str"/>
      <x:c r="O34" t="str"/>
      <x:c r="P34" t="str"/>
    </x:row>
    <x:row r="35">
      <x:c r="A35" s="3" t="n">
        <x:v>46274.25</x:v>
      </x:c>
      <x:c r="B35" s="1" t="str">
        <x:v>SIM-INCA-034</x:v>
      </x:c>
      <x:c r="C35" s="1" t="str">
        <x:v>inCampus</x:v>
      </x:c>
      <x:c r="D35" s="1" t="str">
        <x:v>仮想心理演習</x:v>
      </x:c>
      <x:c r="E35" s="1" t="str">
        <x:v>仮想課題-034</x:v>
      </x:c>
      <x:c r="F35" s="3" t="n">
        <x:v>46284.62430555555</x:v>
      </x:c>
      <x:c r="G35" s="1" t="str">
        <x:v>期限検出</x:v>
      </x:c>
      <x:c r="H35" s="1" t="str">
        <x:v>新しい課題: 仮想課題-034</x:v>
      </x:c>
      <x:c r="I35" s="1" t="str">
        <x:v>架空担当B &lt;fixture-034@example.invalid&gt;</x:v>
      </x:c>
      <x:c r="J35" s="3" t="n">
        <x:v>46274.083333333336</x:v>
      </x:c>
      <x:c r="K35" s="5" t="str">
        <x:v>https://mail.example.invalid/thread/SIM-INCA-034</x:v>
      </x:c>
      <x:c r="L35" s="1" t="str">
        <x:v>履修者：SIM-000034
曜日・時限：火曜3限
授業名：仮想心理演習
教員名：架空担当B
更新内容：
・課題（仮想課題-034）が追加されました。（2026/09/10 08:00）
参照：https://portal.example.invalid/demo/SIM-INCA-034</x:v>
      </x:c>
      <x:c r="M35" s="1" t="str">
        <x:v>未確認</x:v>
      </x:c>
      <x:c r="N35" t="str"/>
      <x:c r="O35" t="str"/>
      <x:c r="P35" t="str"/>
    </x:row>
    <x:row r="36">
      <x:c r="A36" s="3" t="n">
        <x:v>46274.291666666664</x:v>
      </x:c>
      <x:c r="B36" s="1" t="str">
        <x:v>SIM-INCA-035</x:v>
      </x:c>
      <x:c r="C36" s="1" t="str">
        <x:v>inCampus</x:v>
      </x:c>
      <x:c r="D36" s="1" t="str">
        <x:v>サンプル情報設計</x:v>
      </x:c>
      <x:c r="E36" s="1" t="str">
        <x:v>仮想課題-035</x:v>
      </x:c>
      <x:c r="F36" s="3" t="n">
        <x:v>46285.62430555555</x:v>
      </x:c>
      <x:c r="G36" s="1" t="str">
        <x:v>期限検出</x:v>
      </x:c>
      <x:c r="H36" s="1" t="str">
        <x:v>新しい課題: 仮想課題-035</x:v>
      </x:c>
      <x:c r="I36" s="1" t="str">
        <x:v>架空担当C &lt;fixture-035@example.invalid&gt;</x:v>
      </x:c>
      <x:c r="J36" s="3" t="n">
        <x:v>46274.125</x:v>
      </x:c>
      <x:c r="K36" s="5" t="str">
        <x:v>https://mail.example.invalid/thread/SIM-INCA-035</x:v>
      </x:c>
      <x:c r="L36" s="1" t="str">
        <x:v>履修者：SIM-000035
曜日・時限：金曜2限
授業名：サンプル情報設計
教員名：架空担当C
更新内容：
・課題（仮想課題-035）が追加されました。（2026/09/10 08:00）
参照：https://portal.example.invalid/demo/SIM-INCA-035</x:v>
      </x:c>
      <x:c r="M36" s="1" t="str">
        <x:v>未確認</x:v>
      </x:c>
      <x:c r="N36" t="str"/>
      <x:c r="O36" t="str"/>
      <x:c r="P36" t="str"/>
    </x:row>
    <x:row r="37">
      <x:c r="A37" s="3" t="n">
        <x:v>46273.958333333336</x:v>
      </x:c>
      <x:c r="B37" s="1" t="str">
        <x:v>SIM-INCA-036</x:v>
      </x:c>
      <x:c r="C37" s="1" t="str">
        <x:v>inCampus</x:v>
      </x:c>
      <x:c r="D37" s="1" t="str">
        <x:v>架空データ解析</x:v>
      </x:c>
      <x:c r="E37" s="1" t="str">
        <x:v>仮想課題-036</x:v>
      </x:c>
      <x:c r="F37" s="3" t="n">
        <x:v>46268.62430555555</x:v>
      </x:c>
      <x:c r="G37" s="1" t="str">
        <x:v>期限検出</x:v>
      </x:c>
      <x:c r="H37" s="1" t="str">
        <x:v>新しい課題: 仮想課題-036</x:v>
      </x:c>
      <x:c r="I37" s="1" t="str">
        <x:v>架空担当A &lt;fixture-036@example.invalid&gt;</x:v>
      </x:c>
      <x:c r="J37" s="3" t="n">
        <x:v>46274.166666666664</x:v>
      </x:c>
      <x:c r="K37" s="5" t="str">
        <x:v>https://mail.example.invalid/thread/SIM-INCA-036</x:v>
      </x:c>
      <x:c r="L37" s="1" t="str">
        <x:v>履修者：SIM-000036
曜日・時限：月曜1限
授業名：架空データ解析
教員名：架空担当A
更新内容：
・課題（仮想課題-036）が追加されました。（2026/09/10 08:00）
参照：https://portal.example.invalid/demo/SIM-INCA-036</x:v>
      </x:c>
      <x:c r="M37" s="1" t="str">
        <x:v>未確認</x:v>
      </x:c>
      <x:c r="N37" t="str"/>
      <x:c r="O37" t="str"/>
      <x:c r="P37" t="str"/>
    </x:row>
    <x:row r="38">
      <x:c r="A38" s="3" t="n">
        <x:v>46274</x:v>
      </x:c>
      <x:c r="B38" s="1" t="str">
        <x:v>SIM-INCA-037</x:v>
      </x:c>
      <x:c r="C38" s="1" t="str">
        <x:v>inCampus</x:v>
      </x:c>
      <x:c r="D38" s="1" t="str">
        <x:v>仮想心理演習</x:v>
      </x:c>
      <x:c r="E38" s="1" t="str">
        <x:v>仮想課題-037</x:v>
      </x:c>
      <x:c r="F38" s="3" t="n">
        <x:v>46269.62430555555</x:v>
      </x:c>
      <x:c r="G38" s="1" t="str">
        <x:v>期限検出</x:v>
      </x:c>
      <x:c r="H38" s="1" t="str">
        <x:v>新しい課題: 仮想課題-037</x:v>
      </x:c>
      <x:c r="I38" s="1" t="str">
        <x:v>架空担当B &lt;fixture-037@example.invalid&gt;</x:v>
      </x:c>
      <x:c r="J38" s="3" t="n">
        <x:v>46274.208333333336</x:v>
      </x:c>
      <x:c r="K38" s="5" t="str">
        <x:v>https://mail.example.invalid/thread/SIM-INCA-037</x:v>
      </x:c>
      <x:c r="L38" s="1" t="str">
        <x:v>履修者：SIM-000037
曜日・時限：火曜3限
授業名：仮想心理演習
教員名：架空担当B
更新内容：
・課題（仮想課題-037）が追加されました。（2026/09/10 08:00）
参照：https://portal.example.invalid/demo/SIM-INCA-037</x:v>
      </x:c>
      <x:c r="M38" s="1" t="str">
        <x:v>未確認</x:v>
      </x:c>
      <x:c r="N38" t="str"/>
      <x:c r="O38" t="str"/>
      <x:c r="P38" t="str"/>
    </x:row>
    <x:row r="39">
      <x:c r="A39" s="3" t="n">
        <x:v>46274.041666666664</x:v>
      </x:c>
      <x:c r="B39" s="1" t="str">
        <x:v>SIM-INCA-038</x:v>
      </x:c>
      <x:c r="C39" s="1" t="str">
        <x:v>inCampus</x:v>
      </x:c>
      <x:c r="D39" s="1" t="str">
        <x:v>サンプル情報設計</x:v>
      </x:c>
      <x:c r="E39" s="1" t="str">
        <x:v>仮想課題-038</x:v>
      </x:c>
      <x:c r="F39" s="3" t="n">
        <x:v>46270.62430555555</x:v>
      </x:c>
      <x:c r="G39" s="1" t="str">
        <x:v>期限検出</x:v>
      </x:c>
      <x:c r="H39" s="1" t="str">
        <x:v>新しい課題: 仮想課題-038</x:v>
      </x:c>
      <x:c r="I39" s="1" t="str">
        <x:v>架空担当C &lt;fixture-038@example.invalid&gt;</x:v>
      </x:c>
      <x:c r="J39" s="3" t="n">
        <x:v>46274.25</x:v>
      </x:c>
      <x:c r="K39" s="5" t="str">
        <x:v>https://mail.example.invalid/thread/SIM-INCA-038</x:v>
      </x:c>
      <x:c r="L39" s="1" t="str">
        <x:v>履修者：SIM-000038
曜日・時限：金曜2限
授業名：サンプル情報設計
教員名：架空担当C
更新内容：
・課題（仮想課題-038）が追加されました。（2026/09/10 08:00）
参照：https://portal.example.invalid/demo/SIM-INCA-038</x:v>
      </x:c>
      <x:c r="M39" s="1" t="str">
        <x:v>未確認</x:v>
      </x:c>
      <x:c r="N39" t="str"/>
      <x:c r="O39" t="str"/>
      <x:c r="P39" t="str"/>
    </x:row>
    <x:row r="40">
      <x:c r="A40" s="3" t="n">
        <x:v>46274.083333333336</x:v>
      </x:c>
      <x:c r="B40" s="1" t="str">
        <x:v>SIM-INCA-039</x:v>
      </x:c>
      <x:c r="C40" s="1" t="str">
        <x:v>inCampus</x:v>
      </x:c>
      <x:c r="D40" s="1" t="str">
        <x:v>架空データ解析</x:v>
      </x:c>
      <x:c r="E40" s="1" t="str">
        <x:v>仮想お知らせ-039</x:v>
      </x:c>
      <x:c r="F40" s="3" t="str"/>
      <x:c r="G40" s="1" t="str">
        <x:v>期限未検出・要確認</x:v>
      </x:c>
      <x:c r="H40" s="1" t="str">
        <x:v>新しいお知らせ: 仮想お知らせ-039</x:v>
      </x:c>
      <x:c r="I40" s="1" t="str">
        <x:v>架空担当A &lt;fixture-039@example.invalid&gt;</x:v>
      </x:c>
      <x:c r="J40" s="3" t="n">
        <x:v>46274.291666666664</x:v>
      </x:c>
      <x:c r="K40" s="5" t="str">
        <x:v>https://mail.example.invalid/thread/SIM-INCA-039</x:v>
      </x:c>
      <x:c r="L40" s="1" t="str">
        <x:v>履修者：SIM-000039
曜日・時限：月曜1限
授業名：架空データ解析
教員名：架空担当A
更新内容：
・お知らせ（仮想お知らせ-039）が追加されました。（2026/09/10 08:00）
参照：https://portal.example.invalid/demo/SIM-INCA-039</x:v>
      </x:c>
      <x:c r="M40" s="1" t="str">
        <x:v>未確認</x:v>
      </x:c>
      <x:c r="N40" t="str"/>
      <x:c r="O40" t="str"/>
      <x:c r="P40" t="str"/>
    </x:row>
    <x:row r="41">
      <x:c r="A41" s="3" t="n">
        <x:v>46274.125</x:v>
      </x:c>
      <x:c r="B41" s="1" t="str">
        <x:v>SIM-INCA-040</x:v>
      </x:c>
      <x:c r="C41" s="1" t="str">
        <x:v>inCampus</x:v>
      </x:c>
      <x:c r="D41" s="1" t="str">
        <x:v>仮想心理演習</x:v>
      </x:c>
      <x:c r="E41" s="1" t="str">
        <x:v>仮想課題-040</x:v>
      </x:c>
      <x:c r="F41" s="3" t="n">
        <x:v>46272.62430555555</x:v>
      </x:c>
      <x:c r="G41" s="1" t="str">
        <x:v>期限検出</x:v>
      </x:c>
      <x:c r="H41" s="1" t="str">
        <x:v>新しい課題: 仮想課題-040</x:v>
      </x:c>
      <x:c r="I41" s="1" t="str">
        <x:v>架空担当B &lt;fixture-040@example.invalid&gt;</x:v>
      </x:c>
      <x:c r="J41" s="3" t="n">
        <x:v>46274</x:v>
      </x:c>
      <x:c r="K41" s="5" t="str">
        <x:v>https://mail.example.invalid/thread/SIM-INCA-040</x:v>
      </x:c>
      <x:c r="L41" s="1" t="str">
        <x:v>履修者：SIM-000040
曜日・時限：火曜3限
授業名：仮想心理演習
教員名：架空担当B
更新内容：
・課題（仮想課題-040）が追加されました。（2026/09/10 08:00）
参照：https://portal.example.invalid/demo/SIM-INCA-040</x:v>
      </x:c>
      <x:c r="M41" s="1" t="str">
        <x:v>未確認</x:v>
      </x:c>
      <x:c r="N41" t="str"/>
      <x:c r="O41" t="str"/>
      <x:c r="P41" t="str"/>
    </x:row>
    <x:row r="42">
      <x:c r="A42" s="3" t="n">
        <x:v>46274.166666666664</x:v>
      </x:c>
      <x:c r="B42" s="1" t="str">
        <x:v>SIM-INCA-041</x:v>
      </x:c>
      <x:c r="C42" s="1" t="str">
        <x:v>inCampus</x:v>
      </x:c>
      <x:c r="D42" s="1" t="str">
        <x:v>サンプル情報設計</x:v>
      </x:c>
      <x:c r="E42" s="1" t="str">
        <x:v>仮想課題-041</x:v>
      </x:c>
      <x:c r="F42" s="3" t="n">
        <x:v>46273.62430555555</x:v>
      </x:c>
      <x:c r="G42" s="1" t="str">
        <x:v>期限検出</x:v>
      </x:c>
      <x:c r="H42" s="1" t="str">
        <x:v>新しい課題: 仮想課題-041</x:v>
      </x:c>
      <x:c r="I42" s="1" t="str">
        <x:v>架空担当C &lt;fixture-041@example.invalid&gt;</x:v>
      </x:c>
      <x:c r="J42" s="3" t="n">
        <x:v>46274.041666666664</x:v>
      </x:c>
      <x:c r="K42" s="5" t="str">
        <x:v>https://mail.example.invalid/thread/SIM-INCA-041</x:v>
      </x:c>
      <x:c r="L42" s="1" t="str">
        <x:v>履修者：SIM-000041
曜日・時限：金曜2限
授業名：サンプル情報設計
教員名：架空担当C
更新内容：
・課題（仮想課題-041）が追加されました。（2026/09/10 08:00）
参照：https://portal.example.invalid/demo/SIM-INCA-041</x:v>
      </x:c>
      <x:c r="M42" s="1" t="str">
        <x:v>未確認</x:v>
      </x:c>
      <x:c r="N42" t="str"/>
      <x:c r="O42" t="str"/>
      <x:c r="P42" t="str"/>
    </x:row>
    <x:row r="43">
      <x:c r="A43" s="3" t="n">
        <x:v>46274.208333333336</x:v>
      </x:c>
      <x:c r="B43" s="1" t="str">
        <x:v>SIM-INCA-042</x:v>
      </x:c>
      <x:c r="C43" s="1" t="str">
        <x:v>inCampus</x:v>
      </x:c>
      <x:c r="D43" s="1" t="str">
        <x:v>架空データ解析</x:v>
      </x:c>
      <x:c r="E43" s="1" t="str">
        <x:v>仮想課題-042</x:v>
      </x:c>
      <x:c r="F43" s="3" t="n">
        <x:v>46274.62430555555</x:v>
      </x:c>
      <x:c r="G43" s="1" t="str">
        <x:v>期限検出</x:v>
      </x:c>
      <x:c r="H43" s="1" t="str">
        <x:v>新しい課題: 仮想課題-042</x:v>
      </x:c>
      <x:c r="I43" s="1" t="str">
        <x:v>架空担当A &lt;fixture-042@example.invalid&gt;</x:v>
      </x:c>
      <x:c r="J43" s="3" t="n">
        <x:v>46274.083333333336</x:v>
      </x:c>
      <x:c r="K43" s="5" t="str">
        <x:v>https://mail.example.invalid/thread/SIM-INCA-042</x:v>
      </x:c>
      <x:c r="L43" s="1" t="str">
        <x:v>履修者：SIM-000042
曜日・時限：月曜1限
授業名：架空データ解析
教員名：架空担当A
更新内容：
・課題（仮想課題-042）が追加されました。（2026/09/10 08:00）
参照：https://portal.example.invalid/demo/SIM-INCA-042</x:v>
      </x:c>
      <x:c r="M43" s="1" t="str">
        <x:v>未確認</x:v>
      </x:c>
      <x:c r="N43" t="str"/>
      <x:c r="O43" t="str"/>
      <x:c r="P43" t="str"/>
    </x:row>
    <x:row r="44">
      <x:c r="A44" s="3" t="n">
        <x:v>46274.25</x:v>
      </x:c>
      <x:c r="B44" s="1" t="str">
        <x:v>SIM-INCA-043</x:v>
      </x:c>
      <x:c r="C44" s="1" t="str">
        <x:v>inCampus</x:v>
      </x:c>
      <x:c r="D44" s="1" t="str">
        <x:v>仮想心理演習</x:v>
      </x:c>
      <x:c r="E44" s="1" t="str">
        <x:v>仮想課題-043</x:v>
      </x:c>
      <x:c r="F44" s="3" t="n">
        <x:v>46275.62430555555</x:v>
      </x:c>
      <x:c r="G44" s="1" t="str">
        <x:v>期限検出</x:v>
      </x:c>
      <x:c r="H44" s="1" t="str">
        <x:v>新しい課題: 仮想課題-043</x:v>
      </x:c>
      <x:c r="I44" s="1" t="str">
        <x:v>架空担当B &lt;fixture-043@example.invalid&gt;</x:v>
      </x:c>
      <x:c r="J44" s="3" t="n">
        <x:v>46274.125</x:v>
      </x:c>
      <x:c r="K44" s="5" t="str">
        <x:v>https://mail.example.invalid/thread/SIM-INCA-043</x:v>
      </x:c>
      <x:c r="L44" s="1" t="str">
        <x:v>履修者：SIM-000043
曜日・時限：火曜3限
授業名：仮想心理演習
教員名：架空担当B
更新内容：
・課題（仮想課題-043）が追加されました。（2026/09/10 08:00）
参照：https://portal.example.invalid/demo/SIM-INCA-043</x:v>
      </x:c>
      <x:c r="M44" s="1" t="str">
        <x:v>未確認</x:v>
      </x:c>
      <x:c r="N44" t="str"/>
      <x:c r="O44" t="str"/>
      <x:c r="P44" t="str"/>
    </x:row>
    <x:row r="45">
      <x:c r="A45" s="3" t="n">
        <x:v>46274.291666666664</x:v>
      </x:c>
      <x:c r="B45" s="1" t="str">
        <x:v>SIM-INCA-044</x:v>
      </x:c>
      <x:c r="C45" s="1" t="str">
        <x:v>inCampus</x:v>
      </x:c>
      <x:c r="D45" s="1" t="str">
        <x:v>サンプル情報設計</x:v>
      </x:c>
      <x:c r="E45" s="1" t="str">
        <x:v>仮想課題-044</x:v>
      </x:c>
      <x:c r="F45" s="3" t="n">
        <x:v>46276.62430555555</x:v>
      </x:c>
      <x:c r="G45" s="1" t="str">
        <x:v>期限検出</x:v>
      </x:c>
      <x:c r="H45" s="1" t="str">
        <x:v>新しい課題: 仮想課題-044</x:v>
      </x:c>
      <x:c r="I45" s="1" t="str">
        <x:v>架空担当C &lt;fixture-044@example.invalid&gt;</x:v>
      </x:c>
      <x:c r="J45" s="3" t="n">
        <x:v>46274.166666666664</x:v>
      </x:c>
      <x:c r="K45" s="5" t="str">
        <x:v>https://mail.example.invalid/thread/SIM-INCA-044</x:v>
      </x:c>
      <x:c r="L45" s="1" t="str">
        <x:v>履修者：SIM-000044
曜日・時限：金曜2限
授業名：サンプル情報設計
教員名：架空担当C
更新内容：
・課題（仮想課題-044）が追加されました。（2026/09/10 08:00）
参照：https://portal.example.invalid/demo/SIM-INCA-044</x:v>
      </x:c>
      <x:c r="M45" s="1" t="str">
        <x:v>未確認</x:v>
      </x:c>
      <x:c r="N45" t="str"/>
      <x:c r="O45" t="str"/>
      <x:c r="P45" t="str"/>
    </x:row>
    <x:row r="46">
      <x:c r="A46" s="3" t="n">
        <x:v>46273.958333333336</x:v>
      </x:c>
      <x:c r="B46" s="1" t="str">
        <x:v>SIM-INCA-045</x:v>
      </x:c>
      <x:c r="C46" s="1" t="str">
        <x:v>inCampus</x:v>
      </x:c>
      <x:c r="D46" s="1" t="str">
        <x:v>架空データ解析</x:v>
      </x:c>
      <x:c r="E46" s="1" t="str">
        <x:v>仮想課題-045</x:v>
      </x:c>
      <x:c r="F46" s="3" t="n">
        <x:v>46277.62430555555</x:v>
      </x:c>
      <x:c r="G46" s="1" t="str">
        <x:v>期限検出</x:v>
      </x:c>
      <x:c r="H46" s="1" t="str">
        <x:v>新しい課題: 仮想課題-045</x:v>
      </x:c>
      <x:c r="I46" s="1" t="str">
        <x:v>架空担当A &lt;fixture-045@example.invalid&gt;</x:v>
      </x:c>
      <x:c r="J46" s="3" t="n">
        <x:v>46274.208333333336</x:v>
      </x:c>
      <x:c r="K46" s="5" t="str">
        <x:v>https://mail.example.invalid/thread/SIM-INCA-045</x:v>
      </x:c>
      <x:c r="L46" s="1" t="str">
        <x:v>履修者：SIM-000045
曜日・時限：月曜1限
授業名：架空データ解析
教員名：架空担当A
更新内容：
・課題（仮想課題-045）が追加されました。（2026/09/10 08:00）
参照：https://portal.example.invalid/demo/SIM-INCA-045</x:v>
      </x:c>
      <x:c r="M46" s="1" t="str">
        <x:v>未確認</x:v>
      </x:c>
      <x:c r="N46" t="str"/>
      <x:c r="O46" t="str"/>
      <x:c r="P46" t="str"/>
    </x:row>
    <x:row r="47">
      <x:c r="A47" s="3" t="n">
        <x:v>46274</x:v>
      </x:c>
      <x:c r="B47" s="1" t="str">
        <x:v>SIM-INCA-046</x:v>
      </x:c>
      <x:c r="C47" s="1" t="str">
        <x:v>inCampus</x:v>
      </x:c>
      <x:c r="D47" s="1" t="str">
        <x:v>仮想心理演習</x:v>
      </x:c>
      <x:c r="E47" s="1" t="str">
        <x:v>仮想課題-046</x:v>
      </x:c>
      <x:c r="F47" s="3" t="n">
        <x:v>46278.62430555555</x:v>
      </x:c>
      <x:c r="G47" s="1" t="str">
        <x:v>期限検出</x:v>
      </x:c>
      <x:c r="H47" s="1" t="str">
        <x:v>新しい課題: 仮想課題-046</x:v>
      </x:c>
      <x:c r="I47" s="1" t="str">
        <x:v>架空担当B &lt;fixture-046@example.invalid&gt;</x:v>
      </x:c>
      <x:c r="J47" s="3" t="n">
        <x:v>46274.25</x:v>
      </x:c>
      <x:c r="K47" s="5" t="str">
        <x:v>https://mail.example.invalid/thread/SIM-INCA-046</x:v>
      </x:c>
      <x:c r="L47" s="1" t="str">
        <x:v>履修者：SIM-000046
曜日・時限：火曜3限
授業名：仮想心理演習
教員名：架空担当B
更新内容：
・課題（仮想課題-046）が追加されました。（2026/09/10 08:00）
参照：https://portal.example.invalid/demo/SIM-INCA-046</x:v>
      </x:c>
      <x:c r="M47" s="1" t="str">
        <x:v>未確認</x:v>
      </x:c>
      <x:c r="N47" t="str"/>
      <x:c r="O47" t="str"/>
      <x:c r="P47" t="str"/>
    </x:row>
    <x:row r="48">
      <x:c r="A48" s="3" t="n">
        <x:v>46274.041666666664</x:v>
      </x:c>
      <x:c r="B48" s="1" t="str">
        <x:v>SIM-INCA-047</x:v>
      </x:c>
      <x:c r="C48" s="1" t="str">
        <x:v>inCampus</x:v>
      </x:c>
      <x:c r="D48" s="1" t="str">
        <x:v>サンプル情報設計</x:v>
      </x:c>
      <x:c r="E48" s="1" t="str">
        <x:v>仮想課題-047</x:v>
      </x:c>
      <x:c r="F48" s="3" t="n">
        <x:v>46279.62430555555</x:v>
      </x:c>
      <x:c r="G48" s="1" t="str">
        <x:v>期限検出</x:v>
      </x:c>
      <x:c r="H48" s="1" t="str">
        <x:v>新しい課題: 仮想課題-047</x:v>
      </x:c>
      <x:c r="I48" s="1" t="str">
        <x:v>架空担当C &lt;fixture-047@example.invalid&gt;</x:v>
      </x:c>
      <x:c r="J48" s="3" t="n">
        <x:v>46274.291666666664</x:v>
      </x:c>
      <x:c r="K48" s="5" t="str">
        <x:v>https://mail.example.invalid/thread/SIM-INCA-047</x:v>
      </x:c>
      <x:c r="L48" s="1" t="str">
        <x:v>履修者：SIM-000047
曜日・時限：金曜2限
授業名：サンプル情報設計
教員名：架空担当C
更新内容：
・課題（仮想課題-047）が追加されました。（2026/09/10 08:00）
参照：https://portal.example.invalid/demo/SIM-INCA-047</x:v>
      </x:c>
      <x:c r="M48" s="1" t="str">
        <x:v>未確認</x:v>
      </x:c>
      <x:c r="N48" t="str"/>
      <x:c r="O48" t="str"/>
      <x:c r="P48" t="str"/>
    </x:row>
    <x:row r="49">
      <x:c r="A49" s="3" t="n">
        <x:v>46274.083333333336</x:v>
      </x:c>
      <x:c r="B49" s="1" t="str">
        <x:v>SIM-INCA-048</x:v>
      </x:c>
      <x:c r="C49" s="1" t="str">
        <x:v>inCampus</x:v>
      </x:c>
      <x:c r="D49" s="1" t="str">
        <x:v>架空データ解析</x:v>
      </x:c>
      <x:c r="E49" s="1" t="str">
        <x:v>仮想課題-048</x:v>
      </x:c>
      <x:c r="F49" s="3" t="n">
        <x:v>46280.62430555555</x:v>
      </x:c>
      <x:c r="G49" s="1" t="str">
        <x:v>期限検出</x:v>
      </x:c>
      <x:c r="H49" s="1" t="str">
        <x:v>新しい課題: 仮想課題-048</x:v>
      </x:c>
      <x:c r="I49" s="1" t="str">
        <x:v>架空担当A &lt;fixture-048@example.invalid&gt;</x:v>
      </x:c>
      <x:c r="J49" s="3" t="n">
        <x:v>46274</x:v>
      </x:c>
      <x:c r="K49" s="5" t="str">
        <x:v>https://mail.example.invalid/thread/SIM-INCA-048</x:v>
      </x:c>
      <x:c r="L49" s="1" t="str">
        <x:v>履修者：SIM-000048
曜日・時限：月曜1限
授業名：架空データ解析
教員名：架空担当A
更新内容：
・課題（仮想課題-048）が追加されました。（2026/09/10 08:00）
参照：https://portal.example.invalid/demo/SIM-INCA-048</x:v>
      </x:c>
      <x:c r="M49" s="1" t="str">
        <x:v>未確認</x:v>
      </x:c>
      <x:c r="N49" t="str"/>
      <x:c r="O49" t="str"/>
      <x:c r="P49" t="str"/>
    </x:row>
    <x:row r="50">
      <x:c r="A50" s="3" t="n">
        <x:v>46274.125</x:v>
      </x:c>
      <x:c r="B50" s="1" t="str">
        <x:v>SIM-INCA-049</x:v>
      </x:c>
      <x:c r="C50" s="1" t="str">
        <x:v>inCampus</x:v>
      </x:c>
      <x:c r="D50" s="1" t="str">
        <x:v>仮想心理演習</x:v>
      </x:c>
      <x:c r="E50" s="1" t="str">
        <x:v>仮想課題-049</x:v>
      </x:c>
      <x:c r="F50" s="3" t="n">
        <x:v>46281.62430555555</x:v>
      </x:c>
      <x:c r="G50" s="1" t="str">
        <x:v>期限検出</x:v>
      </x:c>
      <x:c r="H50" s="1" t="str">
        <x:v>新しい課題: 仮想課題-049</x:v>
      </x:c>
      <x:c r="I50" s="1" t="str">
        <x:v>架空担当B &lt;fixture-049@example.invalid&gt;</x:v>
      </x:c>
      <x:c r="J50" s="3" t="n">
        <x:v>46274.041666666664</x:v>
      </x:c>
      <x:c r="K50" s="5" t="str">
        <x:v>https://mail.example.invalid/thread/SIM-INCA-049</x:v>
      </x:c>
      <x:c r="L50" s="1" t="str">
        <x:v>履修者：SIM-000049
曜日・時限：火曜3限
授業名：仮想心理演習
教員名：架空担当B
更新内容：
・課題（仮想課題-049）が追加されました。（2026/09/10 08:00）
参照：https://portal.example.invalid/demo/SIM-INCA-049</x:v>
      </x:c>
      <x:c r="M50" s="1" t="str">
        <x:v>未確認</x:v>
      </x:c>
      <x:c r="N50" t="str"/>
      <x:c r="O50" t="str"/>
      <x:c r="P50" t="str"/>
    </x:row>
    <x:row r="51">
      <x:c r="A51" s="3" t="n">
        <x:v>46274.166666666664</x:v>
      </x:c>
      <x:c r="B51" s="1" t="str">
        <x:v>SIM-INCA-050</x:v>
      </x:c>
      <x:c r="C51" s="1" t="str">
        <x:v>inCampus</x:v>
      </x:c>
      <x:c r="D51" s="1" t="str">
        <x:v>サンプル情報設計</x:v>
      </x:c>
      <x:c r="E51" s="1" t="str">
        <x:v>仮想課題-050</x:v>
      </x:c>
      <x:c r="F51" s="3" t="n">
        <x:v>46282.62430555555</x:v>
      </x:c>
      <x:c r="G51" s="1" t="str">
        <x:v>期限検出</x:v>
      </x:c>
      <x:c r="H51" s="1" t="str">
        <x:v>新しい課題: 仮想課題-050</x:v>
      </x:c>
      <x:c r="I51" s="1" t="str">
        <x:v>架空担当C &lt;fixture-050@example.invalid&gt;</x:v>
      </x:c>
      <x:c r="J51" s="3" t="n">
        <x:v>46274.083333333336</x:v>
      </x:c>
      <x:c r="K51" s="5" t="str">
        <x:v>https://mail.example.invalid/thread/SIM-INCA-050</x:v>
      </x:c>
      <x:c r="L51" s="1" t="str">
        <x:v>履修者：SIM-000050
曜日・時限：金曜2限
授業名：サンプル情報設計
教員名：架空担当C
更新内容：
・課題（仮想課題-050）が追加されました。（2026/09/10 08:00）
参照：https://portal.example.invalid/demo/SIM-INCA-050</x:v>
      </x:c>
      <x:c r="M51" s="1" t="str">
        <x:v>未確認</x:v>
      </x:c>
      <x:c r="N51" t="str"/>
      <x:c r="O51" t="str"/>
      <x:c r="P51" t="str"/>
    </x:row>
    <x:row r="52">
      <x:c r="A52" s="3" t="n">
        <x:v>46274.208333333336</x:v>
      </x:c>
      <x:c r="B52" s="1" t="str">
        <x:v>SIM-INCA-051</x:v>
      </x:c>
      <x:c r="C52" s="1" t="str">
        <x:v>inCampus</x:v>
      </x:c>
      <x:c r="D52" s="1" t="str">
        <x:v>架空データ解析</x:v>
      </x:c>
      <x:c r="E52" s="1" t="str">
        <x:v>仮想課題-051</x:v>
      </x:c>
      <x:c r="F52" s="3" t="n">
        <x:v>46283.62430555555</x:v>
      </x:c>
      <x:c r="G52" s="1" t="str">
        <x:v>期限検出</x:v>
      </x:c>
      <x:c r="H52" s="1" t="str">
        <x:v>新しい課題: 仮想課題-051</x:v>
      </x:c>
      <x:c r="I52" s="1" t="str">
        <x:v>架空担当A &lt;fixture-051@example.invalid&gt;</x:v>
      </x:c>
      <x:c r="J52" s="3" t="n">
        <x:v>46274.125</x:v>
      </x:c>
      <x:c r="K52" s="5" t="str">
        <x:v>https://mail.example.invalid/thread/SIM-INCA-051</x:v>
      </x:c>
      <x:c r="L52" s="1" t="str">
        <x:v>履修者：SIM-000051
曜日・時限：月曜1限
授業名：架空データ解析
教員名：架空担当A
更新内容：
・課題（仮想課題-051）が追加されました。（2026/09/10 08:00）
参照：https://portal.example.invalid/demo/SIM-INCA-051</x:v>
      </x:c>
      <x:c r="M52" s="1" t="str">
        <x:v>未確認</x:v>
      </x:c>
      <x:c r="N52" t="str"/>
      <x:c r="O52" t="str"/>
      <x:c r="P52" t="str"/>
    </x:row>
    <x:row r="53">
      <x:c r="A53" s="3" t="n">
        <x:v>46274.25</x:v>
      </x:c>
      <x:c r="B53" s="1" t="str">
        <x:v>SIM-INCA-052</x:v>
      </x:c>
      <x:c r="C53" s="1" t="str">
        <x:v>inCampus</x:v>
      </x:c>
      <x:c r="D53" s="1" t="str">
        <x:v>仮想心理演習</x:v>
      </x:c>
      <x:c r="E53" s="1" t="str">
        <x:v>仮想お知らせ-052</x:v>
      </x:c>
      <x:c r="F53" s="3" t="str"/>
      <x:c r="G53" s="1" t="str">
        <x:v>期限未検出・要確認</x:v>
      </x:c>
      <x:c r="H53" s="1" t="str">
        <x:v>新しいお知らせ: 仮想お知らせ-052</x:v>
      </x:c>
      <x:c r="I53" s="1" t="str">
        <x:v>架空担当B &lt;fixture-052@example.invalid&gt;</x:v>
      </x:c>
      <x:c r="J53" s="3" t="n">
        <x:v>46274.166666666664</x:v>
      </x:c>
      <x:c r="K53" s="5" t="str">
        <x:v>https://mail.example.invalid/thread/SIM-INCA-052</x:v>
      </x:c>
      <x:c r="L53" s="1" t="str">
        <x:v>履修者：SIM-000052
曜日・時限：火曜3限
授業名：仮想心理演習
教員名：架空担当B
更新内容：
・お知らせ（仮想お知らせ-052）が追加されました。（2026/09/10 08:00）
参照：https://portal.example.invalid/demo/SIM-INCA-052</x:v>
      </x:c>
      <x:c r="M53" s="1" t="str">
        <x:v>未確認</x:v>
      </x:c>
      <x:c r="N53" t="str"/>
      <x:c r="O53" t="str"/>
      <x:c r="P53" t="str"/>
    </x:row>
    <x:row r="54">
      <x:c r="A54" s="3" t="n">
        <x:v>46274.291666666664</x:v>
      </x:c>
      <x:c r="B54" s="1" t="str">
        <x:v>SIM-INCA-053</x:v>
      </x:c>
      <x:c r="C54" s="1" t="str">
        <x:v>inCampus</x:v>
      </x:c>
      <x:c r="D54" s="1" t="str">
        <x:v>サンプル情報設計</x:v>
      </x:c>
      <x:c r="E54" s="1" t="str">
        <x:v>仮想課題-053</x:v>
      </x:c>
      <x:c r="F54" s="3" t="n">
        <x:v>46285.62430555555</x:v>
      </x:c>
      <x:c r="G54" s="1" t="str">
        <x:v>期限検出</x:v>
      </x:c>
      <x:c r="H54" s="1" t="str">
        <x:v>新しい課題: 仮想課題-053</x:v>
      </x:c>
      <x:c r="I54" s="1" t="str">
        <x:v>架空担当C &lt;fixture-053@example.invalid&gt;</x:v>
      </x:c>
      <x:c r="J54" s="3" t="n">
        <x:v>46274.208333333336</x:v>
      </x:c>
      <x:c r="K54" s="5" t="str">
        <x:v>https://mail.example.invalid/thread/SIM-INCA-053</x:v>
      </x:c>
      <x:c r="L54" s="1" t="str">
        <x:v>履修者：SIM-000053
曜日・時限：金曜2限
授業名：サンプル情報設計
教員名：架空担当C
更新内容：
・課題（仮想課題-053）が追加されました。（2026/09/10 08:00）
参照：https://portal.example.invalid/demo/SIM-INCA-053</x:v>
      </x:c>
      <x:c r="M54" s="1" t="str">
        <x:v>未確認</x:v>
      </x:c>
      <x:c r="N54" t="str"/>
      <x:c r="O54" t="str"/>
      <x:c r="P54" t="str"/>
    </x:row>
    <x:row r="55">
      <x:c r="A55" s="3" t="n">
        <x:v>46273.958333333336</x:v>
      </x:c>
      <x:c r="B55" s="1" t="str">
        <x:v>SIM-INCA-054</x:v>
      </x:c>
      <x:c r="C55" s="1" t="str">
        <x:v>inCampus</x:v>
      </x:c>
      <x:c r="D55" s="1" t="str">
        <x:v>架空データ解析</x:v>
      </x:c>
      <x:c r="E55" s="1" t="str">
        <x:v>仮想課題-054</x:v>
      </x:c>
      <x:c r="F55" s="3" t="n">
        <x:v>46268.62430555555</x:v>
      </x:c>
      <x:c r="G55" s="1" t="str">
        <x:v>期限検出</x:v>
      </x:c>
      <x:c r="H55" s="1" t="str">
        <x:v>新しい課題: 仮想課題-054</x:v>
      </x:c>
      <x:c r="I55" s="1" t="str">
        <x:v>架空担当A &lt;fixture-054@example.invalid&gt;</x:v>
      </x:c>
      <x:c r="J55" s="3" t="n">
        <x:v>46274.25</x:v>
      </x:c>
      <x:c r="K55" s="5" t="str">
        <x:v>https://mail.example.invalid/thread/SIM-INCA-054</x:v>
      </x:c>
      <x:c r="L55" s="1" t="str">
        <x:v>履修者：SIM-000054
曜日・時限：月曜1限
授業名：架空データ解析
教員名：架空担当A
更新内容：
・課題（仮想課題-054）が追加されました。（2026/09/10 08:00）
参照：https://portal.example.invalid/demo/SIM-INCA-054</x:v>
      </x:c>
      <x:c r="M55" s="1" t="str">
        <x:v>未確認</x:v>
      </x:c>
      <x:c r="N55" t="str"/>
      <x:c r="O55" t="str"/>
      <x:c r="P55" t="str"/>
    </x:row>
    <x:row r="56">
      <x:c r="A56" s="3" t="n">
        <x:v>46274</x:v>
      </x:c>
      <x:c r="B56" s="1" t="str">
        <x:v>SIM-INCA-055</x:v>
      </x:c>
      <x:c r="C56" s="1" t="str">
        <x:v>inCampus</x:v>
      </x:c>
      <x:c r="D56" s="1" t="str">
        <x:v>仮想心理演習</x:v>
      </x:c>
      <x:c r="E56" s="1" t="str">
        <x:v>仮想課題-055</x:v>
      </x:c>
      <x:c r="F56" s="3" t="n">
        <x:v>46269.62430555555</x:v>
      </x:c>
      <x:c r="G56" s="1" t="str">
        <x:v>期限検出</x:v>
      </x:c>
      <x:c r="H56" s="1" t="str">
        <x:v>新しい課題: 仮想課題-055</x:v>
      </x:c>
      <x:c r="I56" s="1" t="str">
        <x:v>架空担当B &lt;fixture-055@example.invalid&gt;</x:v>
      </x:c>
      <x:c r="J56" s="3" t="n">
        <x:v>46274.291666666664</x:v>
      </x:c>
      <x:c r="K56" s="5" t="str">
        <x:v>https://mail.example.invalid/thread/SIM-INCA-055</x:v>
      </x:c>
      <x:c r="L56" s="1" t="str">
        <x:v>履修者：SIM-000055
曜日・時限：火曜3限
授業名：仮想心理演習
教員名：架空担当B
更新内容：
・課題（仮想課題-055）が追加されました。（2026/09/10 08:00）
参照：https://portal.example.invalid/demo/SIM-INCA-055</x:v>
      </x:c>
      <x:c r="M56" s="1" t="str">
        <x:v>未確認</x:v>
      </x:c>
      <x:c r="N56" t="str"/>
      <x:c r="O56" t="str"/>
      <x:c r="P56" t="str"/>
    </x:row>
    <x:row r="57">
      <x:c r="A57" s="3" t="n">
        <x:v>46274.041666666664</x:v>
      </x:c>
      <x:c r="B57" s="1" t="str">
        <x:v>SIM-INCA-056</x:v>
      </x:c>
      <x:c r="C57" s="1" t="str">
        <x:v>inCampus</x:v>
      </x:c>
      <x:c r="D57" s="1" t="str">
        <x:v>サンプル情報設計</x:v>
      </x:c>
      <x:c r="E57" s="1" t="str">
        <x:v>仮想課題-056</x:v>
      </x:c>
      <x:c r="F57" s="3" t="n">
        <x:v>46270.62430555555</x:v>
      </x:c>
      <x:c r="G57" s="1" t="str">
        <x:v>期限検出</x:v>
      </x:c>
      <x:c r="H57" s="1" t="str">
        <x:v>新しい課題: 仮想課題-056</x:v>
      </x:c>
      <x:c r="I57" s="1" t="str">
        <x:v>架空担当C &lt;fixture-056@example.invalid&gt;</x:v>
      </x:c>
      <x:c r="J57" s="3" t="n">
        <x:v>46274</x:v>
      </x:c>
      <x:c r="K57" s="5" t="str">
        <x:v>https://mail.example.invalid/thread/SIM-INCA-056</x:v>
      </x:c>
      <x:c r="L57" s="1" t="str">
        <x:v>履修者：SIM-000056
曜日・時限：金曜2限
授業名：サンプル情報設計
教員名：架空担当C
更新内容：
・課題（仮想課題-056）が追加されました。（2026/09/10 08:00）
参照：https://portal.example.invalid/demo/SIM-INCA-056</x:v>
      </x:c>
      <x:c r="M57" s="1" t="str">
        <x:v>未確認</x:v>
      </x:c>
      <x:c r="N57" t="str"/>
      <x:c r="O57" t="str"/>
      <x:c r="P57" t="str"/>
    </x:row>
    <x:row r="58">
      <x:c r="A58" s="3" t="n">
        <x:v>46274.083333333336</x:v>
      </x:c>
      <x:c r="B58" s="1" t="str">
        <x:v>SIM-INCA-057</x:v>
      </x:c>
      <x:c r="C58" s="1" t="str">
        <x:v>inCampus</x:v>
      </x:c>
      <x:c r="D58" s="1" t="str">
        <x:v>架空データ解析</x:v>
      </x:c>
      <x:c r="E58" s="1" t="str">
        <x:v>仮想課題-057</x:v>
      </x:c>
      <x:c r="F58" s="3" t="n">
        <x:v>46271.62430555555</x:v>
      </x:c>
      <x:c r="G58" s="1" t="str">
        <x:v>期限検出</x:v>
      </x:c>
      <x:c r="H58" s="1" t="str">
        <x:v>新しい課題: 仮想課題-057</x:v>
      </x:c>
      <x:c r="I58" s="1" t="str">
        <x:v>架空担当A &lt;fixture-057@example.invalid&gt;</x:v>
      </x:c>
      <x:c r="J58" s="3" t="n">
        <x:v>46274.041666666664</x:v>
      </x:c>
      <x:c r="K58" s="5" t="str">
        <x:v>https://mail.example.invalid/thread/SIM-INCA-057</x:v>
      </x:c>
      <x:c r="L58" s="1" t="str">
        <x:v>履修者：SIM-000057
曜日・時限：月曜1限
授業名：架空データ解析
教員名：架空担当A
更新内容：
・課題（仮想課題-057）が追加されました。（2026/09/10 08:00）
参照：https://portal.example.invalid/demo/SIM-INCA-057</x:v>
      </x:c>
      <x:c r="M58" s="1" t="str">
        <x:v>未確認</x:v>
      </x:c>
      <x:c r="N58" t="str"/>
      <x:c r="O58" t="str"/>
      <x:c r="P58" t="str"/>
    </x:row>
    <x:row r="59">
      <x:c r="A59" s="3" t="n">
        <x:v>46274.125</x:v>
      </x:c>
      <x:c r="B59" s="1" t="str">
        <x:v>SIM-INCA-058</x:v>
      </x:c>
      <x:c r="C59" s="1" t="str">
        <x:v>inCampus</x:v>
      </x:c>
      <x:c r="D59" s="1" t="str">
        <x:v>仮想心理演習</x:v>
      </x:c>
      <x:c r="E59" s="1" t="str">
        <x:v>仮想課題-058</x:v>
      </x:c>
      <x:c r="F59" s="3" t="n">
        <x:v>46272.62430555555</x:v>
      </x:c>
      <x:c r="G59" s="1" t="str">
        <x:v>期限検出</x:v>
      </x:c>
      <x:c r="H59" s="1" t="str">
        <x:v>新しい課題: 仮想課題-058</x:v>
      </x:c>
      <x:c r="I59" s="1" t="str">
        <x:v>架空担当B &lt;fixture-058@example.invalid&gt;</x:v>
      </x:c>
      <x:c r="J59" s="3" t="n">
        <x:v>46274.083333333336</x:v>
      </x:c>
      <x:c r="K59" s="5" t="str">
        <x:v>https://mail.example.invalid/thread/SIM-INCA-058</x:v>
      </x:c>
      <x:c r="L59" s="1" t="str">
        <x:v>履修者：SIM-000058
曜日・時限：火曜3限
授業名：仮想心理演習
教員名：架空担当B
更新内容：
・課題（仮想課題-058）が追加されました。（2026/09/10 08:00）
参照：https://portal.example.invalid/demo/SIM-INCA-058</x:v>
      </x:c>
      <x:c r="M59" s="1" t="str">
        <x:v>未確認</x:v>
      </x:c>
      <x:c r="N59" t="str"/>
      <x:c r="O59" t="str"/>
      <x:c r="P59" t="str"/>
    </x:row>
    <x:row r="60">
      <x:c r="A60" s="3" t="n">
        <x:v>46274.166666666664</x:v>
      </x:c>
      <x:c r="B60" s="1" t="str">
        <x:v>SIM-INCA-059</x:v>
      </x:c>
      <x:c r="C60" s="1" t="str">
        <x:v>inCampus</x:v>
      </x:c>
      <x:c r="D60" s="1" t="str">
        <x:v>サンプル情報設計</x:v>
      </x:c>
      <x:c r="E60" s="1" t="str">
        <x:v>仮想課題-059</x:v>
      </x:c>
      <x:c r="F60" s="3" t="n">
        <x:v>46273.62430555555</x:v>
      </x:c>
      <x:c r="G60" s="1" t="str">
        <x:v>期限検出</x:v>
      </x:c>
      <x:c r="H60" s="1" t="str">
        <x:v>新しい課題: 仮想課題-059</x:v>
      </x:c>
      <x:c r="I60" s="1" t="str">
        <x:v>架空担当C &lt;fixture-059@example.invalid&gt;</x:v>
      </x:c>
      <x:c r="J60" s="3" t="n">
        <x:v>46274.125</x:v>
      </x:c>
      <x:c r="K60" s="5" t="str">
        <x:v>https://mail.example.invalid/thread/SIM-INCA-059</x:v>
      </x:c>
      <x:c r="L60" s="1" t="str">
        <x:v>履修者：SIM-000059
曜日・時限：金曜2限
授業名：サンプル情報設計
教員名：架空担当C
更新内容：
・課題（仮想課題-059）が追加されました。（2026/09/10 08:00）
参照：https://portal.example.invalid/demo/SIM-INCA-059</x:v>
      </x:c>
      <x:c r="M60" s="1" t="str">
        <x:v>未確認</x:v>
      </x:c>
      <x:c r="N60" t="str"/>
      <x:c r="O60" t="str"/>
      <x:c r="P60" t="str"/>
    </x:row>
    <x:row r="61">
      <x:c r="A61" s="3" t="n">
        <x:v>46274.208333333336</x:v>
      </x:c>
      <x:c r="B61" s="1" t="str">
        <x:v>SIM-INCA-060</x:v>
      </x:c>
      <x:c r="C61" s="1" t="str">
        <x:v>inCampus</x:v>
      </x:c>
      <x:c r="D61" s="1" t="str">
        <x:v>架空データ解析</x:v>
      </x:c>
      <x:c r="E61" s="1" t="str">
        <x:v>仮想課題-060</x:v>
      </x:c>
      <x:c r="F61" s="3" t="n">
        <x:v>46274.62430555555</x:v>
      </x:c>
      <x:c r="G61" s="1" t="str">
        <x:v>期限検出</x:v>
      </x:c>
      <x:c r="H61" s="1" t="str">
        <x:v>新しい課題: 仮想課題-060</x:v>
      </x:c>
      <x:c r="I61" s="1" t="str">
        <x:v>架空担当A &lt;fixture-060@example.invalid&gt;</x:v>
      </x:c>
      <x:c r="J61" s="3" t="n">
        <x:v>46274.166666666664</x:v>
      </x:c>
      <x:c r="K61" s="5" t="str">
        <x:v>https://mail.example.invalid/thread/SIM-INCA-060</x:v>
      </x:c>
      <x:c r="L61" s="1" t="str">
        <x:v>履修者：SIM-000060
曜日・時限：月曜1限
授業名：架空データ解析
教員名：架空担当A
更新内容：
・課題（仮想課題-060）が追加されました。（2026/09/10 08:00）
参照：https://portal.example.invalid/demo/SIM-INCA-060</x:v>
      </x:c>
      <x:c r="M61" s="1" t="str">
        <x:v>未確認</x:v>
      </x:c>
      <x:c r="N61" t="str"/>
      <x:c r="O61" t="str"/>
      <x:c r="P61" t="str"/>
    </x:row>
    <x:row r="62">
      <x:c r="A62" s="3" t="n">
        <x:v>46274.25</x:v>
      </x:c>
      <x:c r="B62" s="1" t="str">
        <x:v>SIM-INCA-061</x:v>
      </x:c>
      <x:c r="C62" s="1" t="str">
        <x:v>inCampus</x:v>
      </x:c>
      <x:c r="D62" s="1" t="str">
        <x:v>仮想心理演習</x:v>
      </x:c>
      <x:c r="E62" s="1" t="str">
        <x:v>仮想課題-061</x:v>
      </x:c>
      <x:c r="F62" s="3" t="n">
        <x:v>46275.62430555555</x:v>
      </x:c>
      <x:c r="G62" s="1" t="str">
        <x:v>期限検出</x:v>
      </x:c>
      <x:c r="H62" s="1" t="str">
        <x:v>新しい課題: 仮想課題-061</x:v>
      </x:c>
      <x:c r="I62" s="1" t="str">
        <x:v>架空担当B &lt;fixture-061@example.invalid&gt;</x:v>
      </x:c>
      <x:c r="J62" s="3" t="n">
        <x:v>46274.208333333336</x:v>
      </x:c>
      <x:c r="K62" s="5" t="str">
        <x:v>https://mail.example.invalid/thread/SIM-INCA-061</x:v>
      </x:c>
      <x:c r="L62" s="1" t="str">
        <x:v>履修者：SIM-000061
曜日・時限：火曜3限
授業名：仮想心理演習
教員名：架空担当B
更新内容：
・課題（仮想課題-061）が追加されました。（2026/09/10 08:00）
参照：https://portal.example.invalid/demo/SIM-INCA-061</x:v>
      </x:c>
      <x:c r="M62" s="1" t="str">
        <x:v>未確認</x:v>
      </x:c>
      <x:c r="N62" t="str"/>
      <x:c r="O62" t="str"/>
      <x:c r="P62" t="str"/>
    </x:row>
    <x:row r="63">
      <x:c r="A63" s="3" t="n">
        <x:v>46274.291666666664</x:v>
      </x:c>
      <x:c r="B63" s="1" t="str">
        <x:v>SIM-INCA-062</x:v>
      </x:c>
      <x:c r="C63" s="1" t="str">
        <x:v>inCampus</x:v>
      </x:c>
      <x:c r="D63" s="1" t="str">
        <x:v>サンプル情報設計</x:v>
      </x:c>
      <x:c r="E63" s="1" t="str">
        <x:v>仮想課題-062</x:v>
      </x:c>
      <x:c r="F63" s="3" t="n">
        <x:v>46276.62430555555</x:v>
      </x:c>
      <x:c r="G63" s="1" t="str">
        <x:v>期限検出</x:v>
      </x:c>
      <x:c r="H63" s="1" t="str">
        <x:v>新しい課題: 仮想課題-062</x:v>
      </x:c>
      <x:c r="I63" s="1" t="str">
        <x:v>架空担当C &lt;fixture-062@example.invalid&gt;</x:v>
      </x:c>
      <x:c r="J63" s="3" t="n">
        <x:v>46274.25</x:v>
      </x:c>
      <x:c r="K63" s="5" t="str">
        <x:v>https://mail.example.invalid/thread/SIM-INCA-062</x:v>
      </x:c>
      <x:c r="L63" s="1" t="str">
        <x:v>履修者：SIM-000062
曜日・時限：金曜2限
授業名：サンプル情報設計
教員名：架空担当C
更新内容：
・課題（仮想課題-062）が追加されました。（2026/09/10 08:00）
参照：https://portal.example.invalid/demo/SIM-INCA-062</x:v>
      </x:c>
      <x:c r="M63" s="1" t="str">
        <x:v>未確認</x:v>
      </x:c>
      <x:c r="N63" t="str"/>
      <x:c r="O63" t="str"/>
      <x:c r="P63" t="str"/>
    </x:row>
    <x:row r="64">
      <x:c r="A64" s="3" t="n">
        <x:v>46273.958333333336</x:v>
      </x:c>
      <x:c r="B64" s="1" t="str">
        <x:v>SIM-INCA-063</x:v>
      </x:c>
      <x:c r="C64" s="1" t="str">
        <x:v>inCampus</x:v>
      </x:c>
      <x:c r="D64" s="1" t="str">
        <x:v>架空データ解析</x:v>
      </x:c>
      <x:c r="E64" s="1" t="str">
        <x:v>仮想課題-063</x:v>
      </x:c>
      <x:c r="F64" s="3" t="n">
        <x:v>46277.62430555555</x:v>
      </x:c>
      <x:c r="G64" s="1" t="str">
        <x:v>期限検出</x:v>
      </x:c>
      <x:c r="H64" s="1" t="str">
        <x:v>新しい課題: 仮想課題-063</x:v>
      </x:c>
      <x:c r="I64" s="1" t="str">
        <x:v>架空担当A &lt;fixture-063@example.invalid&gt;</x:v>
      </x:c>
      <x:c r="J64" s="3" t="n">
        <x:v>46274.291666666664</x:v>
      </x:c>
      <x:c r="K64" s="5" t="str">
        <x:v>https://mail.example.invalid/thread/SIM-INCA-063</x:v>
      </x:c>
      <x:c r="L64" s="1" t="str">
        <x:v>履修者：SIM-000063
曜日・時限：月曜1限
授業名：架空データ解析
教員名：架空担当A
更新内容：
・課題（仮想課題-063）が追加されました。（2026/09/10 08:00）
参照：https://portal.example.invalid/demo/SIM-INCA-063</x:v>
      </x:c>
      <x:c r="M64" s="1" t="str">
        <x:v>未確認</x:v>
      </x:c>
      <x:c r="N64" t="str"/>
      <x:c r="O64" t="str"/>
      <x:c r="P64" t="str"/>
    </x:row>
    <x:row r="65">
      <x:c r="A65" s="3" t="n">
        <x:v>46274</x:v>
      </x:c>
      <x:c r="B65" s="1" t="str">
        <x:v>SIM-INCA-064</x:v>
      </x:c>
      <x:c r="C65" s="1" t="str">
        <x:v>inCampus</x:v>
      </x:c>
      <x:c r="D65" s="1" t="str">
        <x:v>仮想心理演習</x:v>
      </x:c>
      <x:c r="E65" s="1" t="str">
        <x:v>仮想課題-064</x:v>
      </x:c>
      <x:c r="F65" s="3" t="n">
        <x:v>46278.62430555555</x:v>
      </x:c>
      <x:c r="G65" s="1" t="str">
        <x:v>期限検出</x:v>
      </x:c>
      <x:c r="H65" s="1" t="str">
        <x:v>新しい課題: 仮想課題-064</x:v>
      </x:c>
      <x:c r="I65" s="1" t="str">
        <x:v>架空担当B &lt;fixture-064@example.invalid&gt;</x:v>
      </x:c>
      <x:c r="J65" s="3" t="n">
        <x:v>46274</x:v>
      </x:c>
      <x:c r="K65" s="5" t="str">
        <x:v>https://mail.example.invalid/thread/SIM-INCA-064</x:v>
      </x:c>
      <x:c r="L65" s="1" t="str">
        <x:v>履修者：SIM-000064
曜日・時限：火曜3限
授業名：仮想心理演習
教員名：架空担当B
更新内容：
・課題（仮想課題-064）が追加されました。（2026/09/10 08:00）
参照：https://portal.example.invalid/demo/SIM-INCA-064</x:v>
      </x:c>
      <x:c r="M65" s="1" t="str">
        <x:v>未確認</x:v>
      </x:c>
      <x:c r="N65" t="str"/>
      <x:c r="O65" t="str"/>
      <x:c r="P65" t="str"/>
    </x:row>
    <x:row r="66">
      <x:c r="A66" s="3" t="n">
        <x:v>46274.041666666664</x:v>
      </x:c>
      <x:c r="B66" s="1" t="str">
        <x:v>SIM-INCA-065</x:v>
      </x:c>
      <x:c r="C66" s="1" t="str">
        <x:v>inCampus</x:v>
      </x:c>
      <x:c r="D66" s="1" t="str">
        <x:v>サンプル情報設計</x:v>
      </x:c>
      <x:c r="E66" s="1" t="str">
        <x:v>仮想お知らせ-065</x:v>
      </x:c>
      <x:c r="F66" s="3" t="str"/>
      <x:c r="G66" s="1" t="str">
        <x:v>期限未検出・要確認</x:v>
      </x:c>
      <x:c r="H66" s="1" t="str">
        <x:v>新しいお知らせ: 仮想お知らせ-065</x:v>
      </x:c>
      <x:c r="I66" s="1" t="str">
        <x:v>架空担当C &lt;fixture-065@example.invalid&gt;</x:v>
      </x:c>
      <x:c r="J66" s="3" t="n">
        <x:v>46274.041666666664</x:v>
      </x:c>
      <x:c r="K66" s="5" t="str">
        <x:v>https://mail.example.invalid/thread/SIM-INCA-065</x:v>
      </x:c>
      <x:c r="L66" s="1" t="str">
        <x:v>履修者：SIM-000065
曜日・時限：金曜2限
授業名：サンプル情報設計
教員名：架空担当C
更新内容：
・お知らせ（仮想お知らせ-065）が追加されました。（2026/09/10 08:00）
参照：https://portal.example.invalid/demo/SIM-INCA-065</x:v>
      </x:c>
      <x:c r="M66" s="1" t="str">
        <x:v>未確認</x:v>
      </x:c>
      <x:c r="N66" t="str"/>
      <x:c r="O66" t="str"/>
      <x:c r="P66" t="str"/>
    </x:row>
    <x:row r="67">
      <x:c r="A67" s="3" t="n">
        <x:v>46274.083333333336</x:v>
      </x:c>
      <x:c r="B67" s="1" t="str">
        <x:v>SIM-INCA-066</x:v>
      </x:c>
      <x:c r="C67" s="1" t="str">
        <x:v>inCampus</x:v>
      </x:c>
      <x:c r="D67" s="1" t="str">
        <x:v>架空データ解析</x:v>
      </x:c>
      <x:c r="E67" s="1" t="str">
        <x:v>仮想課題-066</x:v>
      </x:c>
      <x:c r="F67" s="3" t="n">
        <x:v>46280.62430555555</x:v>
      </x:c>
      <x:c r="G67" s="1" t="str">
        <x:v>期限検出</x:v>
      </x:c>
      <x:c r="H67" s="1" t="str">
        <x:v>新しい課題: 仮想課題-066</x:v>
      </x:c>
      <x:c r="I67" s="1" t="str">
        <x:v>架空担当A &lt;fixture-066@example.invalid&gt;</x:v>
      </x:c>
      <x:c r="J67" s="3" t="n">
        <x:v>46274.083333333336</x:v>
      </x:c>
      <x:c r="K67" s="5" t="str">
        <x:v>https://mail.example.invalid/thread/SIM-INCA-066</x:v>
      </x:c>
      <x:c r="L67" s="1" t="str">
        <x:v>履修者：SIM-000066
曜日・時限：月曜1限
授業名：架空データ解析
教員名：架空担当A
更新内容：
・課題（仮想課題-066）が追加されました。（2026/09/10 08:00）
参照：https://portal.example.invalid/demo/SIM-INCA-066</x:v>
      </x:c>
      <x:c r="M67" s="1" t="str">
        <x:v>未確認</x:v>
      </x:c>
      <x:c r="N67" t="str"/>
      <x:c r="O67" t="str"/>
      <x:c r="P67" t="str"/>
    </x:row>
    <x:row r="68">
      <x:c r="A68" s="3" t="n">
        <x:v>46274.125</x:v>
      </x:c>
      <x:c r="B68" s="1" t="str">
        <x:v>SIM-INCA-067</x:v>
      </x:c>
      <x:c r="C68" s="1" t="str">
        <x:v>inCampus</x:v>
      </x:c>
      <x:c r="D68" s="1" t="str">
        <x:v>仮想心理演習</x:v>
      </x:c>
      <x:c r="E68" s="1" t="str">
        <x:v>仮想課題-067</x:v>
      </x:c>
      <x:c r="F68" s="3" t="n">
        <x:v>46281.62430555555</x:v>
      </x:c>
      <x:c r="G68" s="1" t="str">
        <x:v>期限検出</x:v>
      </x:c>
      <x:c r="H68" s="1" t="str">
        <x:v>新しい課題: 仮想課題-067</x:v>
      </x:c>
      <x:c r="I68" s="1" t="str">
        <x:v>架空担当B &lt;fixture-067@example.invalid&gt;</x:v>
      </x:c>
      <x:c r="J68" s="3" t="n">
        <x:v>46274.125</x:v>
      </x:c>
      <x:c r="K68" s="5" t="str">
        <x:v>https://mail.example.invalid/thread/SIM-INCA-067</x:v>
      </x:c>
      <x:c r="L68" s="1" t="str">
        <x:v>履修者：SIM-000067
曜日・時限：火曜3限
授業名：仮想心理演習
教員名：架空担当B
更新内容：
・課題（仮想課題-067）が追加されました。（2026/09/10 08:00）
参照：https://portal.example.invalid/demo/SIM-INCA-067</x:v>
      </x:c>
      <x:c r="M68" s="1" t="str">
        <x:v>未確認</x:v>
      </x:c>
      <x:c r="N68" t="str"/>
      <x:c r="O68" t="str"/>
      <x:c r="P68" t="str"/>
    </x:row>
    <x:row r="69">
      <x:c r="A69" s="3" t="n">
        <x:v>46274.166666666664</x:v>
      </x:c>
      <x:c r="B69" s="1" t="str">
        <x:v>SIM-INCA-068</x:v>
      </x:c>
      <x:c r="C69" s="1" t="str">
        <x:v>inCampus</x:v>
      </x:c>
      <x:c r="D69" s="1" t="str">
        <x:v>サンプル情報設計</x:v>
      </x:c>
      <x:c r="E69" s="1" t="str">
        <x:v>仮想課題-068</x:v>
      </x:c>
      <x:c r="F69" s="3" t="n">
        <x:v>46282.62430555555</x:v>
      </x:c>
      <x:c r="G69" s="1" t="str">
        <x:v>期限検出</x:v>
      </x:c>
      <x:c r="H69" s="1" t="str">
        <x:v>新しい課題: 仮想課題-068</x:v>
      </x:c>
      <x:c r="I69" s="1" t="str">
        <x:v>架空担当C &lt;fixture-068@example.invalid&gt;</x:v>
      </x:c>
      <x:c r="J69" s="3" t="n">
        <x:v>46274.166666666664</x:v>
      </x:c>
      <x:c r="K69" s="5" t="str">
        <x:v>https://mail.example.invalid/thread/SIM-INCA-068</x:v>
      </x:c>
      <x:c r="L69" s="1" t="str">
        <x:v>履修者：SIM-000068
曜日・時限：金曜2限
授業名：サンプル情報設計
教員名：架空担当C
更新内容：
・課題（仮想課題-068）が追加されました。（2026/09/10 08:00）
参照：https://portal.example.invalid/demo/SIM-INCA-068</x:v>
      </x:c>
      <x:c r="M69" s="1" t="str">
        <x:v>未確認</x:v>
      </x:c>
      <x:c r="N69" t="str"/>
      <x:c r="O69" t="str"/>
      <x:c r="P69" t="str"/>
    </x:row>
    <x:row r="70">
      <x:c r="A70" s="3" t="n">
        <x:v>46274.208333333336</x:v>
      </x:c>
      <x:c r="B70" s="1" t="str">
        <x:v>SIM-INCA-069</x:v>
      </x:c>
      <x:c r="C70" s="1" t="str">
        <x:v>inCampus</x:v>
      </x:c>
      <x:c r="D70" s="1" t="str">
        <x:v>架空データ解析</x:v>
      </x:c>
      <x:c r="E70" s="1" t="str">
        <x:v>仮想課題-069</x:v>
      </x:c>
      <x:c r="F70" s="3" t="n">
        <x:v>46283.62430555555</x:v>
      </x:c>
      <x:c r="G70" s="1" t="str">
        <x:v>期限検出</x:v>
      </x:c>
      <x:c r="H70" s="1" t="str">
        <x:v>新しい課題: 仮想課題-069</x:v>
      </x:c>
      <x:c r="I70" s="1" t="str">
        <x:v>架空担当A &lt;fixture-069@example.invalid&gt;</x:v>
      </x:c>
      <x:c r="J70" s="3" t="n">
        <x:v>46274.208333333336</x:v>
      </x:c>
      <x:c r="K70" s="5" t="str">
        <x:v>https://mail.example.invalid/thread/SIM-INCA-069</x:v>
      </x:c>
      <x:c r="L70" s="1" t="str">
        <x:v>履修者：SIM-000069
曜日・時限：月曜1限
授業名：架空データ解析
教員名：架空担当A
更新内容：
・課題（仮想課題-069）が追加されました。（2026/09/10 08:00）
参照：https://portal.example.invalid/demo/SIM-INCA-069</x:v>
      </x:c>
      <x:c r="M70" s="1" t="str">
        <x:v>未確認</x:v>
      </x:c>
      <x:c r="N70" t="str"/>
      <x:c r="O70" t="str"/>
      <x:c r="P70" t="str"/>
    </x:row>
    <x:row r="71">
      <x:c r="A71" s="3" t="n">
        <x:v>46274.25</x:v>
      </x:c>
      <x:c r="B71" s="1" t="str">
        <x:v>SIM-INCA-070</x:v>
      </x:c>
      <x:c r="C71" s="1" t="str">
        <x:v>inCampus</x:v>
      </x:c>
      <x:c r="D71" s="1" t="str">
        <x:v>仮想心理演習</x:v>
      </x:c>
      <x:c r="E71" s="1" t="str">
        <x:v>仮想課題-070</x:v>
      </x:c>
      <x:c r="F71" s="3" t="n">
        <x:v>46284.62430555555</x:v>
      </x:c>
      <x:c r="G71" s="1" t="str">
        <x:v>期限検出</x:v>
      </x:c>
      <x:c r="H71" s="1" t="str">
        <x:v>新しい課題: 仮想課題-070</x:v>
      </x:c>
      <x:c r="I71" s="1" t="str">
        <x:v>架空担当B &lt;fixture-070@example.invalid&gt;</x:v>
      </x:c>
      <x:c r="J71" s="3" t="n">
        <x:v>46274.25</x:v>
      </x:c>
      <x:c r="K71" s="5" t="str">
        <x:v>https://mail.example.invalid/thread/SIM-INCA-070</x:v>
      </x:c>
      <x:c r="L71" s="1" t="str">
        <x:v>履修者：SIM-000070
曜日・時限：火曜3限
授業名：仮想心理演習
教員名：架空担当B
更新内容：
・課題（仮想課題-070）が追加されました。（2026/09/10 08:00）
参照：https://portal.example.invalid/demo/SIM-INCA-070</x:v>
      </x:c>
      <x:c r="M71" s="1" t="str">
        <x:v>未確認</x:v>
      </x:c>
      <x:c r="N71" t="str"/>
      <x:c r="O71" t="str"/>
      <x:c r="P71" t="str"/>
    </x:row>
    <x:row r="72">
      <x:c r="A72" s="3" t="n">
        <x:v>46274.291666666664</x:v>
      </x:c>
      <x:c r="B72" s="1" t="str">
        <x:v>SIM-INCA-071</x:v>
      </x:c>
      <x:c r="C72" s="1" t="str">
        <x:v>inCampus</x:v>
      </x:c>
      <x:c r="D72" s="1" t="str">
        <x:v>サンプル情報設計</x:v>
      </x:c>
      <x:c r="E72" s="1" t="str">
        <x:v>仮想課題-071</x:v>
      </x:c>
      <x:c r="F72" s="3" t="n">
        <x:v>46285.62430555555</x:v>
      </x:c>
      <x:c r="G72" s="1" t="str">
        <x:v>期限検出</x:v>
      </x:c>
      <x:c r="H72" s="1" t="str">
        <x:v>新しい課題: 仮想課題-071</x:v>
      </x:c>
      <x:c r="I72" s="1" t="str">
        <x:v>架空担当C &lt;fixture-071@example.invalid&gt;</x:v>
      </x:c>
      <x:c r="J72" s="3" t="n">
        <x:v>46274.291666666664</x:v>
      </x:c>
      <x:c r="K72" s="5" t="str">
        <x:v>https://mail.example.invalid/thread/SIM-INCA-071</x:v>
      </x:c>
      <x:c r="L72" s="1" t="str">
        <x:v>履修者：SIM-000071
曜日・時限：金曜2限
授業名：サンプル情報設計
教員名：架空担当C
更新内容：
・課題（仮想課題-071）が追加されました。（2026/09/10 08:00）
参照：https://portal.example.invalid/demo/SIM-INCA-071</x:v>
      </x:c>
      <x:c r="M72" s="1" t="str">
        <x:v>未確認</x:v>
      </x:c>
      <x:c r="N72" t="str"/>
      <x:c r="O72" t="str"/>
      <x:c r="P72" t="str"/>
    </x:row>
    <x:row r="73">
      <x:c r="A73" s="3" t="n">
        <x:v>46273.958333333336</x:v>
      </x:c>
      <x:c r="B73" s="1" t="str">
        <x:v>SIM-INCA-072</x:v>
      </x:c>
      <x:c r="C73" s="1" t="str">
        <x:v>inCampus</x:v>
      </x:c>
      <x:c r="D73" s="1" t="str">
        <x:v>架空データ解析</x:v>
      </x:c>
      <x:c r="E73" s="1" t="str">
        <x:v>仮想課題-072</x:v>
      </x:c>
      <x:c r="F73" s="3" t="n">
        <x:v>46268.62430555555</x:v>
      </x:c>
      <x:c r="G73" s="1" t="str">
        <x:v>期限検出</x:v>
      </x:c>
      <x:c r="H73" s="1" t="str">
        <x:v>新しい課題: 仮想課題-072</x:v>
      </x:c>
      <x:c r="I73" s="1" t="str">
        <x:v>架空担当A &lt;fixture-072@example.invalid&gt;</x:v>
      </x:c>
      <x:c r="J73" s="3" t="n">
        <x:v>46274</x:v>
      </x:c>
      <x:c r="K73" s="5" t="str">
        <x:v>https://mail.example.invalid/thread/SIM-INCA-072</x:v>
      </x:c>
      <x:c r="L73" s="1" t="str">
        <x:v>履修者：SIM-000072
曜日・時限：月曜1限
授業名：架空データ解析
教員名：架空担当A
更新内容：
・課題（仮想課題-072）が追加されました。（2026/09/10 08:00）
参照：https://portal.example.invalid/demo/SIM-INCA-072</x:v>
      </x:c>
      <x:c r="M73" s="1" t="str">
        <x:v>未確認</x:v>
      </x:c>
      <x:c r="N73" t="str"/>
      <x:c r="O73" t="str"/>
      <x:c r="P73" t="str"/>
    </x:row>
    <x:row r="74">
      <x:c r="A74" s="3" t="n">
        <x:v>46274</x:v>
      </x:c>
      <x:c r="B74" s="1" t="str">
        <x:v>SIM-INCA-073</x:v>
      </x:c>
      <x:c r="C74" s="1" t="str">
        <x:v>inCampus</x:v>
      </x:c>
      <x:c r="D74" s="1" t="str">
        <x:v>仮想心理演習</x:v>
      </x:c>
      <x:c r="E74" s="1" t="str">
        <x:v>仮想課題-073</x:v>
      </x:c>
      <x:c r="F74" s="3" t="n">
        <x:v>46269.62430555555</x:v>
      </x:c>
      <x:c r="G74" s="1" t="str">
        <x:v>期限検出</x:v>
      </x:c>
      <x:c r="H74" s="1" t="str">
        <x:v>新しい課題: 仮想課題-073</x:v>
      </x:c>
      <x:c r="I74" s="1" t="str">
        <x:v>架空担当B &lt;fixture-073@example.invalid&gt;</x:v>
      </x:c>
      <x:c r="J74" s="3" t="n">
        <x:v>46274.041666666664</x:v>
      </x:c>
      <x:c r="K74" s="5" t="str">
        <x:v>https://mail.example.invalid/thread/SIM-INCA-073</x:v>
      </x:c>
      <x:c r="L74" s="1" t="str">
        <x:v>履修者：SIM-000073
曜日・時限：火曜3限
授業名：仮想心理演習
教員名：架空担当B
更新内容：
・課題（仮想課題-073）が追加されました。（2026/09/10 08:00）
参照：https://portal.example.invalid/demo/SIM-INCA-073</x:v>
      </x:c>
      <x:c r="M74" s="1" t="str">
        <x:v>未確認</x:v>
      </x:c>
      <x:c r="N74" t="str"/>
      <x:c r="O74" t="str"/>
      <x:c r="P74" t="str"/>
    </x:row>
    <x:row r="75">
      <x:c r="A75" s="3" t="n">
        <x:v>46274.041666666664</x:v>
      </x:c>
      <x:c r="B75" s="1" t="str">
        <x:v>SIM-INCA-074</x:v>
      </x:c>
      <x:c r="C75" s="1" t="str">
        <x:v>inCampus</x:v>
      </x:c>
      <x:c r="D75" s="1" t="str">
        <x:v>サンプル情報設計</x:v>
      </x:c>
      <x:c r="E75" s="1" t="str">
        <x:v>仮想課題-074</x:v>
      </x:c>
      <x:c r="F75" s="3" t="n">
        <x:v>46270.62430555555</x:v>
      </x:c>
      <x:c r="G75" s="1" t="str">
        <x:v>期限検出</x:v>
      </x:c>
      <x:c r="H75" s="1" t="str">
        <x:v>新しい課題: 仮想課題-074</x:v>
      </x:c>
      <x:c r="I75" s="1" t="str">
        <x:v>架空担当C &lt;fixture-074@example.invalid&gt;</x:v>
      </x:c>
      <x:c r="J75" s="3" t="n">
        <x:v>46274.083333333336</x:v>
      </x:c>
      <x:c r="K75" s="5" t="str">
        <x:v>https://mail.example.invalid/thread/SIM-INCA-074</x:v>
      </x:c>
      <x:c r="L75" s="1" t="str">
        <x:v>履修者：SIM-000074
曜日・時限：金曜2限
授業名：サンプル情報設計
教員名：架空担当C
更新内容：
・課題（仮想課題-074）が追加されました。（2026/09/10 08:00）
参照：https://portal.example.invalid/demo/SIM-INCA-074</x:v>
      </x:c>
      <x:c r="M75" s="1" t="str">
        <x:v>未確認</x:v>
      </x:c>
      <x:c r="N75" t="str"/>
      <x:c r="O75" t="str"/>
      <x:c r="P75" t="str"/>
    </x:row>
    <x:row r="76">
      <x:c r="A76" s="3" t="n">
        <x:v>46274.083333333336</x:v>
      </x:c>
      <x:c r="B76" s="1" t="str">
        <x:v>SIM-INCA-075</x:v>
      </x:c>
      <x:c r="C76" s="1" t="str">
        <x:v>inCampus</x:v>
      </x:c>
      <x:c r="D76" s="1" t="str">
        <x:v>架空データ解析</x:v>
      </x:c>
      <x:c r="E76" s="1" t="str">
        <x:v>仮想課題-075</x:v>
      </x:c>
      <x:c r="F76" s="3" t="n">
        <x:v>46271.62430555555</x:v>
      </x:c>
      <x:c r="G76" s="1" t="str">
        <x:v>期限検出</x:v>
      </x:c>
      <x:c r="H76" s="1" t="str">
        <x:v>新しい課題: 仮想課題-075</x:v>
      </x:c>
      <x:c r="I76" s="1" t="str">
        <x:v>架空担当A &lt;fixture-075@example.invalid&gt;</x:v>
      </x:c>
      <x:c r="J76" s="3" t="n">
        <x:v>46274.125</x:v>
      </x:c>
      <x:c r="K76" s="5" t="str">
        <x:v>https://mail.example.invalid/thread/SIM-INCA-075</x:v>
      </x:c>
      <x:c r="L76" s="1" t="str">
        <x:v>履修者：SIM-000075
曜日・時限：月曜1限
授業名：架空データ解析
教員名：架空担当A
更新内容：
・課題（仮想課題-075）が追加されました。（2026/09/10 08:00）
参照：https://portal.example.invalid/demo/SIM-INCA-075</x:v>
      </x:c>
      <x:c r="M76" s="1" t="str">
        <x:v>未確認</x:v>
      </x:c>
      <x:c r="N76" t="str"/>
      <x:c r="O76" t="str"/>
      <x:c r="P76" t="str"/>
    </x:row>
    <x:row r="77">
      <x:c r="A77" s="3" t="n">
        <x:v>46274.125</x:v>
      </x:c>
      <x:c r="B77" s="1" t="str">
        <x:v>SIM-INCA-076</x:v>
      </x:c>
      <x:c r="C77" s="1" t="str">
        <x:v>inCampus</x:v>
      </x:c>
      <x:c r="D77" s="1" t="str">
        <x:v>仮想心理演習</x:v>
      </x:c>
      <x:c r="E77" s="1" t="str">
        <x:v>仮想課題-076</x:v>
      </x:c>
      <x:c r="F77" s="3" t="n">
        <x:v>46272.62430555555</x:v>
      </x:c>
      <x:c r="G77" s="1" t="str">
        <x:v>期限検出</x:v>
      </x:c>
      <x:c r="H77" s="1" t="str">
        <x:v>新しい課題: 仮想課題-076</x:v>
      </x:c>
      <x:c r="I77" s="1" t="str">
        <x:v>架空担当B &lt;fixture-076@example.invalid&gt;</x:v>
      </x:c>
      <x:c r="J77" s="3" t="n">
        <x:v>46274.166666666664</x:v>
      </x:c>
      <x:c r="K77" s="5" t="str">
        <x:v>https://mail.example.invalid/thread/SIM-INCA-076</x:v>
      </x:c>
      <x:c r="L77" s="1" t="str">
        <x:v>履修者：SIM-000076
曜日・時限：火曜3限
授業名：仮想心理演習
教員名：架空担当B
更新内容：
・課題（仮想課題-076）が追加されました。（2026/09/10 08:00）
参照：https://portal.example.invalid/demo/SIM-INCA-076</x:v>
      </x:c>
      <x:c r="M77" s="1" t="str">
        <x:v>未確認</x:v>
      </x:c>
      <x:c r="N77" t="str"/>
      <x:c r="O77" t="str"/>
      <x:c r="P77" t="str"/>
    </x:row>
    <x:row r="78">
      <x:c r="A78" s="3" t="n">
        <x:v>46274.166666666664</x:v>
      </x:c>
      <x:c r="B78" s="1" t="str">
        <x:v>SIM-INCA-077</x:v>
      </x:c>
      <x:c r="C78" s="1" t="str">
        <x:v>inCampus</x:v>
      </x:c>
      <x:c r="D78" s="1" t="str">
        <x:v>サンプル情報設計</x:v>
      </x:c>
      <x:c r="E78" s="1" t="str">
        <x:v>仮想課題-077</x:v>
      </x:c>
      <x:c r="F78" s="3" t="n">
        <x:v>46273.62430555555</x:v>
      </x:c>
      <x:c r="G78" s="1" t="str">
        <x:v>期限検出</x:v>
      </x:c>
      <x:c r="H78" s="1" t="str">
        <x:v>新しい課題: 仮想課題-077</x:v>
      </x:c>
      <x:c r="I78" s="1" t="str">
        <x:v>架空担当C &lt;fixture-077@example.invalid&gt;</x:v>
      </x:c>
      <x:c r="J78" s="3" t="n">
        <x:v>46274.208333333336</x:v>
      </x:c>
      <x:c r="K78" s="5" t="str">
        <x:v>https://mail.example.invalid/thread/SIM-INCA-077</x:v>
      </x:c>
      <x:c r="L78" s="1" t="str">
        <x:v>履修者：SIM-000077
曜日・時限：金曜2限
授業名：サンプル情報設計
教員名：架空担当C
更新内容：
・課題（仮想課題-077）が追加されました。（2026/09/10 08:00）
参照：https://portal.example.invalid/demo/SIM-INCA-077</x:v>
      </x:c>
      <x:c r="M78" s="1" t="str">
        <x:v>未確認</x:v>
      </x:c>
      <x:c r="N78" t="str"/>
      <x:c r="O78" t="str"/>
      <x:c r="P78" t="str"/>
    </x:row>
    <x:row r="79">
      <x:c r="A79" s="3" t="n">
        <x:v>46274.208333333336</x:v>
      </x:c>
      <x:c r="B79" s="1" t="str">
        <x:v>SIM-INCA-078</x:v>
      </x:c>
      <x:c r="C79" s="1" t="str">
        <x:v>inCampus</x:v>
      </x:c>
      <x:c r="D79" s="1" t="str">
        <x:v>架空データ解析</x:v>
      </x:c>
      <x:c r="E79" s="1" t="str">
        <x:v>仮想お知らせ-078</x:v>
      </x:c>
      <x:c r="F79" s="3" t="str"/>
      <x:c r="G79" s="1" t="str">
        <x:v>期限未検出・要確認</x:v>
      </x:c>
      <x:c r="H79" s="1" t="str">
        <x:v>新しいお知らせ: 仮想お知らせ-078</x:v>
      </x:c>
      <x:c r="I79" s="1" t="str">
        <x:v>架空担当A &lt;fixture-078@example.invalid&gt;</x:v>
      </x:c>
      <x:c r="J79" s="3" t="n">
        <x:v>46274.25</x:v>
      </x:c>
      <x:c r="K79" s="5" t="str">
        <x:v>https://mail.example.invalid/thread/SIM-INCA-078</x:v>
      </x:c>
      <x:c r="L79" s="1" t="str">
        <x:v>履修者：SIM-000078
曜日・時限：月曜1限
授業名：架空データ解析
教員名：架空担当A
更新内容：
・お知らせ（仮想お知らせ-078）が追加されました。（2026/09/10 08:00）
参照：https://portal.example.invalid/demo/SIM-INCA-078</x:v>
      </x:c>
      <x:c r="M79" s="1" t="str">
        <x:v>未確認</x:v>
      </x:c>
      <x:c r="N79" t="str"/>
      <x:c r="O79" t="str"/>
      <x:c r="P79" t="str"/>
    </x:row>
    <x:row r="80">
      <x:c r="A80" s="3" t="n">
        <x:v>46274.25</x:v>
      </x:c>
      <x:c r="B80" s="1" t="str">
        <x:v>SIM-INCA-079</x:v>
      </x:c>
      <x:c r="C80" s="1" t="str">
        <x:v>inCampus</x:v>
      </x:c>
      <x:c r="D80" s="1" t="str">
        <x:v>仮想心理演習</x:v>
      </x:c>
      <x:c r="E80" s="1" t="str">
        <x:v>仮想課題-079</x:v>
      </x:c>
      <x:c r="F80" s="3" t="n">
        <x:v>46275.62430555555</x:v>
      </x:c>
      <x:c r="G80" s="1" t="str">
        <x:v>期限検出</x:v>
      </x:c>
      <x:c r="H80" s="1" t="str">
        <x:v>新しい課題: 仮想課題-079</x:v>
      </x:c>
      <x:c r="I80" s="1" t="str">
        <x:v>架空担当B &lt;fixture-079@example.invalid&gt;</x:v>
      </x:c>
      <x:c r="J80" s="3" t="n">
        <x:v>46274.291666666664</x:v>
      </x:c>
      <x:c r="K80" s="5" t="str">
        <x:v>https://mail.example.invalid/thread/SIM-INCA-079</x:v>
      </x:c>
      <x:c r="L80" s="1" t="str">
        <x:v>履修者：SIM-000079
曜日・時限：火曜3限
授業名：仮想心理演習
教員名：架空担当B
更新内容：
・課題（仮想課題-079）が追加されました。（2026/09/10 08:00）
参照：https://portal.example.invalid/demo/SIM-INCA-079</x:v>
      </x:c>
      <x:c r="M80" s="1" t="str">
        <x:v>未確認</x:v>
      </x:c>
      <x:c r="N80" t="str"/>
      <x:c r="O80" t="str"/>
      <x:c r="P80" t="str"/>
    </x:row>
    <x:row r="81">
      <x:c r="A81" s="3" t="n">
        <x:v>46274.291666666664</x:v>
      </x:c>
      <x:c r="B81" s="1" t="str">
        <x:v>SIM-INCA-080</x:v>
      </x:c>
      <x:c r="C81" s="1" t="str">
        <x:v>inCampus</x:v>
      </x:c>
      <x:c r="D81" s="1" t="str">
        <x:v>サンプル情報設計</x:v>
      </x:c>
      <x:c r="E81" s="1" t="str">
        <x:v>仮想課題-080</x:v>
      </x:c>
      <x:c r="F81" s="3" t="n">
        <x:v>46276.62430555555</x:v>
      </x:c>
      <x:c r="G81" s="1" t="str">
        <x:v>期限検出</x:v>
      </x:c>
      <x:c r="H81" s="1" t="str">
        <x:v>新しい課題: 仮想課題-080</x:v>
      </x:c>
      <x:c r="I81" s="1" t="str">
        <x:v>架空担当C &lt;fixture-080@example.invalid&gt;</x:v>
      </x:c>
      <x:c r="J81" s="3" t="n">
        <x:v>46274</x:v>
      </x:c>
      <x:c r="K81" s="5" t="str">
        <x:v>https://mail.example.invalid/thread/SIM-INCA-080</x:v>
      </x:c>
      <x:c r="L81" s="1" t="str">
        <x:v>履修者：SIM-000080
曜日・時限：金曜2限
授業名：サンプル情報設計
教員名：架空担当C
更新内容：
・課題（仮想課題-080）が追加されました。（2026/09/10 08:00）
参照：https://portal.example.invalid/demo/SIM-INCA-080</x:v>
      </x:c>
      <x:c r="M81" s="1" t="str">
        <x:v>未確認</x:v>
      </x:c>
      <x:c r="N81" t="str"/>
      <x:c r="O81" t="str"/>
      <x:c r="P81" t="str"/>
    </x:row>
    <x:row r="82">
      <x:c r="A82" s="3" t="n">
        <x:v>46273.958333333336</x:v>
      </x:c>
      <x:c r="B82" s="1" t="str">
        <x:v>SIM-INCA-081</x:v>
      </x:c>
      <x:c r="C82" s="1" t="str">
        <x:v>inCampus</x:v>
      </x:c>
      <x:c r="D82" s="1" t="str">
        <x:v>架空データ解析</x:v>
      </x:c>
      <x:c r="E82" s="1" t="str">
        <x:v>仮想課題-081</x:v>
      </x:c>
      <x:c r="F82" s="3" t="n">
        <x:v>46277.62430555555</x:v>
      </x:c>
      <x:c r="G82" s="1" t="str">
        <x:v>期限検出</x:v>
      </x:c>
      <x:c r="H82" s="1" t="str">
        <x:v>新しい課題: 仮想課題-081</x:v>
      </x:c>
      <x:c r="I82" s="1" t="str">
        <x:v>架空担当A &lt;fixture-081@example.invalid&gt;</x:v>
      </x:c>
      <x:c r="J82" s="3" t="n">
        <x:v>46274.041666666664</x:v>
      </x:c>
      <x:c r="K82" s="5" t="str">
        <x:v>https://mail.example.invalid/thread/SIM-INCA-081</x:v>
      </x:c>
      <x:c r="L82" s="1" t="str">
        <x:v>履修者：SIM-000081
曜日・時限：月曜1限
授業名：架空データ解析
教員名：架空担当A
更新内容：
・課題（仮想課題-081）が追加されました。（2026/09/10 08:00）
参照：https://portal.example.invalid/demo/SIM-INCA-081</x:v>
      </x:c>
      <x:c r="M82" s="1" t="str">
        <x:v>未確認</x:v>
      </x:c>
      <x:c r="N82" t="str"/>
      <x:c r="O82" t="str"/>
      <x:c r="P82" t="str"/>
    </x:row>
    <x:row r="83">
      <x:c r="A83" s="3" t="n">
        <x:v>46274</x:v>
      </x:c>
      <x:c r="B83" s="1" t="str">
        <x:v>SIM-INCA-082</x:v>
      </x:c>
      <x:c r="C83" s="1" t="str">
        <x:v>inCampus</x:v>
      </x:c>
      <x:c r="D83" s="1" t="str">
        <x:v>仮想心理演習</x:v>
      </x:c>
      <x:c r="E83" s="1" t="str">
        <x:v>仮想課題-082</x:v>
      </x:c>
      <x:c r="F83" s="3" t="n">
        <x:v>46278.62430555555</x:v>
      </x:c>
      <x:c r="G83" s="1" t="str">
        <x:v>期限検出</x:v>
      </x:c>
      <x:c r="H83" s="1" t="str">
        <x:v>新しい課題: 仮想課題-082</x:v>
      </x:c>
      <x:c r="I83" s="1" t="str">
        <x:v>架空担当B &lt;fixture-082@example.invalid&gt;</x:v>
      </x:c>
      <x:c r="J83" s="3" t="n">
        <x:v>46274.083333333336</x:v>
      </x:c>
      <x:c r="K83" s="5" t="str">
        <x:v>https://mail.example.invalid/thread/SIM-INCA-082</x:v>
      </x:c>
      <x:c r="L83" s="1" t="str">
        <x:v>履修者：SIM-000082
曜日・時限：火曜3限
授業名：仮想心理演習
教員名：架空担当B
更新内容：
・課題（仮想課題-082）が追加されました。（2026/09/10 08:00）
参照：https://portal.example.invalid/demo/SIM-INCA-082</x:v>
      </x:c>
      <x:c r="M83" s="1" t="str">
        <x:v>未確認</x:v>
      </x:c>
      <x:c r="N83" t="str"/>
      <x:c r="O83" t="str"/>
      <x:c r="P83" t="str"/>
    </x:row>
    <x:row r="84">
      <x:c r="A84" s="3" t="n">
        <x:v>46274.041666666664</x:v>
      </x:c>
      <x:c r="B84" s="1" t="str">
        <x:v>SIM-INCA-083</x:v>
      </x:c>
      <x:c r="C84" s="1" t="str">
        <x:v>inCampus</x:v>
      </x:c>
      <x:c r="D84" s="1" t="str">
        <x:v>サンプル情報設計</x:v>
      </x:c>
      <x:c r="E84" s="1" t="str">
        <x:v>仮想課題-083</x:v>
      </x:c>
      <x:c r="F84" s="3" t="n">
        <x:v>46279.62430555555</x:v>
      </x:c>
      <x:c r="G84" s="1" t="str">
        <x:v>期限検出</x:v>
      </x:c>
      <x:c r="H84" s="1" t="str">
        <x:v>新しい課題: 仮想課題-083</x:v>
      </x:c>
      <x:c r="I84" s="1" t="str">
        <x:v>架空担当C &lt;fixture-083@example.invalid&gt;</x:v>
      </x:c>
      <x:c r="J84" s="3" t="n">
        <x:v>46274.125</x:v>
      </x:c>
      <x:c r="K84" s="5" t="str">
        <x:v>https://mail.example.invalid/thread/SIM-INCA-083</x:v>
      </x:c>
      <x:c r="L84" s="1" t="str">
        <x:v>履修者：SIM-000083
曜日・時限：金曜2限
授業名：サンプル情報設計
教員名：架空担当C
更新内容：
・課題（仮想課題-083）が追加されました。（2026/09/10 08:00）
参照：https://portal.example.invalid/demo/SIM-INCA-083</x:v>
      </x:c>
      <x:c r="M84" s="1" t="str">
        <x:v>未確認</x:v>
      </x:c>
      <x:c r="N84" t="str"/>
      <x:c r="O84" t="str"/>
      <x:c r="P84" t="str"/>
    </x:row>
    <x:row r="85">
      <x:c r="A85" s="3" t="n">
        <x:v>46274.083333333336</x:v>
      </x:c>
      <x:c r="B85" s="1" t="str">
        <x:v>SIM-INCA-084</x:v>
      </x:c>
      <x:c r="C85" s="1" t="str">
        <x:v>inCampus</x:v>
      </x:c>
      <x:c r="D85" s="1" t="str">
        <x:v>架空データ解析</x:v>
      </x:c>
      <x:c r="E85" s="1" t="str">
        <x:v>仮想課題-084</x:v>
      </x:c>
      <x:c r="F85" s="3" t="n">
        <x:v>46280.62430555555</x:v>
      </x:c>
      <x:c r="G85" s="1" t="str">
        <x:v>期限検出</x:v>
      </x:c>
      <x:c r="H85" s="1" t="str">
        <x:v>新しい課題: 仮想課題-084</x:v>
      </x:c>
      <x:c r="I85" s="1" t="str">
        <x:v>架空担当A &lt;fixture-084@example.invalid&gt;</x:v>
      </x:c>
      <x:c r="J85" s="3" t="n">
        <x:v>46274.166666666664</x:v>
      </x:c>
      <x:c r="K85" s="5" t="str">
        <x:v>https://mail.example.invalid/thread/SIM-INCA-084</x:v>
      </x:c>
      <x:c r="L85" s="1" t="str">
        <x:v>履修者：SIM-000084
曜日・時限：月曜1限
授業名：架空データ解析
教員名：架空担当A
更新内容：
・課題（仮想課題-084）が追加されました。（2026/09/10 08:00）
参照：https://portal.example.invalid/demo/SIM-INCA-084</x:v>
      </x:c>
      <x:c r="M85" s="1" t="str">
        <x:v>未確認</x:v>
      </x:c>
      <x:c r="N85" t="str"/>
      <x:c r="O85" t="str"/>
      <x:c r="P85" t="str"/>
    </x:row>
    <x:row r="86">
      <x:c r="A86" s="3" t="n">
        <x:v>46274.125</x:v>
      </x:c>
      <x:c r="B86" s="1" t="str">
        <x:v>SIM-INCA-085</x:v>
      </x:c>
      <x:c r="C86" s="1" t="str">
        <x:v>inCampus</x:v>
      </x:c>
      <x:c r="D86" s="1" t="str">
        <x:v>仮想心理演習</x:v>
      </x:c>
      <x:c r="E86" s="1" t="str">
        <x:v>仮想課題-085</x:v>
      </x:c>
      <x:c r="F86" s="3" t="n">
        <x:v>46281.62430555555</x:v>
      </x:c>
      <x:c r="G86" s="1" t="str">
        <x:v>期限検出</x:v>
      </x:c>
      <x:c r="H86" s="1" t="str">
        <x:v>新しい課題: 仮想課題-085</x:v>
      </x:c>
      <x:c r="I86" s="1" t="str">
        <x:v>架空担当B &lt;fixture-085@example.invalid&gt;</x:v>
      </x:c>
      <x:c r="J86" s="3" t="n">
        <x:v>46274.208333333336</x:v>
      </x:c>
      <x:c r="K86" s="5" t="str">
        <x:v>https://mail.example.invalid/thread/SIM-INCA-085</x:v>
      </x:c>
      <x:c r="L86" s="1" t="str">
        <x:v>履修者：SIM-000085
曜日・時限：火曜3限
授業名：仮想心理演習
教員名：架空担当B
更新内容：
・課題（仮想課題-085）が追加されました。（2026/09/10 08:00）
参照：https://portal.example.invalid/demo/SIM-INCA-085</x:v>
      </x:c>
      <x:c r="M86" s="1" t="str">
        <x:v>未確認</x:v>
      </x:c>
      <x:c r="N86" t="str"/>
      <x:c r="O86" t="str"/>
      <x:c r="P86" t="str"/>
    </x:row>
    <x:row r="87">
      <x:c r="A87" s="3" t="n">
        <x:v>46274.166666666664</x:v>
      </x:c>
      <x:c r="B87" s="1" t="str">
        <x:v>SIM-INCA-086</x:v>
      </x:c>
      <x:c r="C87" s="1" t="str">
        <x:v>inCampus</x:v>
      </x:c>
      <x:c r="D87" s="1" t="str">
        <x:v>サンプル情報設計</x:v>
      </x:c>
      <x:c r="E87" s="1" t="str">
        <x:v>仮想課題-086</x:v>
      </x:c>
      <x:c r="F87" s="3" t="n">
        <x:v>46282.62430555555</x:v>
      </x:c>
      <x:c r="G87" s="1" t="str">
        <x:v>期限検出</x:v>
      </x:c>
      <x:c r="H87" s="1" t="str">
        <x:v>新しい課題: 仮想課題-086</x:v>
      </x:c>
      <x:c r="I87" s="1" t="str">
        <x:v>架空担当C &lt;fixture-086@example.invalid&gt;</x:v>
      </x:c>
      <x:c r="J87" s="3" t="n">
        <x:v>46274.25</x:v>
      </x:c>
      <x:c r="K87" s="5" t="str">
        <x:v>https://mail.example.invalid/thread/SIM-INCA-086</x:v>
      </x:c>
      <x:c r="L87" s="1" t="str">
        <x:v>履修者：SIM-000086
曜日・時限：金曜2限
授業名：サンプル情報設計
教員名：架空担当C
更新内容：
・課題（仮想課題-086）が追加されました。（2026/09/10 08:00）
参照：https://portal.example.invalid/demo/SIM-INCA-086</x:v>
      </x:c>
      <x:c r="M87" s="1" t="str">
        <x:v>未確認</x:v>
      </x:c>
      <x:c r="N87" t="str"/>
      <x:c r="O87" t="str"/>
      <x:c r="P87" t="str"/>
    </x:row>
    <x:row r="88">
      <x:c r="A88" s="3" t="n">
        <x:v>46274.208333333336</x:v>
      </x:c>
      <x:c r="B88" s="1" t="str">
        <x:v>SIM-INCA-087</x:v>
      </x:c>
      <x:c r="C88" s="1" t="str">
        <x:v>inCampus</x:v>
      </x:c>
      <x:c r="D88" s="1" t="str">
        <x:v>架空データ解析</x:v>
      </x:c>
      <x:c r="E88" s="1" t="str">
        <x:v>仮想課題-087</x:v>
      </x:c>
      <x:c r="F88" s="3" t="n">
        <x:v>46283.62430555555</x:v>
      </x:c>
      <x:c r="G88" s="1" t="str">
        <x:v>期限検出</x:v>
      </x:c>
      <x:c r="H88" s="1" t="str">
        <x:v>新しい課題: 仮想課題-087</x:v>
      </x:c>
      <x:c r="I88" s="1" t="str">
        <x:v>架空担当A &lt;fixture-087@example.invalid&gt;</x:v>
      </x:c>
      <x:c r="J88" s="3" t="n">
        <x:v>46274.291666666664</x:v>
      </x:c>
      <x:c r="K88" s="5" t="str">
        <x:v>https://mail.example.invalid/thread/SIM-INCA-087</x:v>
      </x:c>
      <x:c r="L88" s="1" t="str">
        <x:v>履修者：SIM-000087
曜日・時限：月曜1限
授業名：架空データ解析
教員名：架空担当A
更新内容：
・課題（仮想課題-087）が追加されました。（2026/09/10 08:00）
参照：https://portal.example.invalid/demo/SIM-INCA-087</x:v>
      </x:c>
      <x:c r="M88" s="1" t="str">
        <x:v>未確認</x:v>
      </x:c>
      <x:c r="N88" t="str"/>
      <x:c r="O88" t="str"/>
      <x:c r="P88" t="str"/>
    </x:row>
    <x:row r="89">
      <x:c r="A89" s="3" t="n">
        <x:v>46274.25</x:v>
      </x:c>
      <x:c r="B89" s="1" t="str">
        <x:v>SIM-INCA-088</x:v>
      </x:c>
      <x:c r="C89" s="1" t="str">
        <x:v>inCampus</x:v>
      </x:c>
      <x:c r="D89" s="1" t="str">
        <x:v>仮想心理演習</x:v>
      </x:c>
      <x:c r="E89" s="1" t="str">
        <x:v>仮想課題-088</x:v>
      </x:c>
      <x:c r="F89" s="3" t="n">
        <x:v>46284.62430555555</x:v>
      </x:c>
      <x:c r="G89" s="1" t="str">
        <x:v>期限検出</x:v>
      </x:c>
      <x:c r="H89" s="1" t="str">
        <x:v>新しい課題: 仮想課題-088</x:v>
      </x:c>
      <x:c r="I89" s="1" t="str">
        <x:v>架空担当B &lt;fixture-088@example.invalid&gt;</x:v>
      </x:c>
      <x:c r="J89" s="3" t="n">
        <x:v>46274</x:v>
      </x:c>
      <x:c r="K89" s="5" t="str">
        <x:v>https://mail.example.invalid/thread/SIM-INCA-088</x:v>
      </x:c>
      <x:c r="L89" s="1" t="str">
        <x:v>履修者：SIM-000088
曜日・時限：火曜3限
授業名：仮想心理演習
教員名：架空担当B
更新内容：
・課題（仮想課題-088）が追加されました。（2026/09/10 08:00）
参照：https://portal.example.invalid/demo/SIM-INCA-088</x:v>
      </x:c>
      <x:c r="M89" s="1" t="str">
        <x:v>未確認</x:v>
      </x:c>
      <x:c r="N89" t="str"/>
      <x:c r="O89" t="str"/>
      <x:c r="P89" t="str"/>
    </x:row>
    <x:row r="90">
      <x:c r="A90" s="3" t="n">
        <x:v>46274.291666666664</x:v>
      </x:c>
      <x:c r="B90" s="1" t="str">
        <x:v>SIM-INCA-089</x:v>
      </x:c>
      <x:c r="C90" s="1" t="str">
        <x:v>inCampus</x:v>
      </x:c>
      <x:c r="D90" s="1" t="str">
        <x:v>サンプル情報設計</x:v>
      </x:c>
      <x:c r="E90" s="1" t="str">
        <x:v>仮想課題-089</x:v>
      </x:c>
      <x:c r="F90" s="3" t="n">
        <x:v>46285.62430555555</x:v>
      </x:c>
      <x:c r="G90" s="1" t="str">
        <x:v>期限検出</x:v>
      </x:c>
      <x:c r="H90" s="1" t="str">
        <x:v>新しい課題: 仮想課題-089</x:v>
      </x:c>
      <x:c r="I90" s="1" t="str">
        <x:v>架空担当C &lt;fixture-089@example.invalid&gt;</x:v>
      </x:c>
      <x:c r="J90" s="3" t="n">
        <x:v>46274.041666666664</x:v>
      </x:c>
      <x:c r="K90" s="5" t="str">
        <x:v>https://mail.example.invalid/thread/SIM-INCA-089</x:v>
      </x:c>
      <x:c r="L90" s="1" t="str">
        <x:v>履修者：SIM-000089
曜日・時限：金曜2限
授業名：サンプル情報設計
教員名：架空担当C
更新内容：
・課題（仮想課題-089）が追加されました。（2026/09/10 08:00）
参照：https://portal.example.invalid/demo/SIM-INCA-089</x:v>
      </x:c>
      <x:c r="M90" s="1" t="str">
        <x:v>未確認</x:v>
      </x:c>
      <x:c r="N90" t="str"/>
      <x:c r="O90" t="str"/>
      <x:c r="P90" t="str"/>
    </x:row>
    <x:row r="91">
      <x:c r="A91" s="3" t="n">
        <x:v>46273.958333333336</x:v>
      </x:c>
      <x:c r="B91" s="1" t="str">
        <x:v>SIM-INCA-090</x:v>
      </x:c>
      <x:c r="C91" s="1" t="str">
        <x:v>inCampus</x:v>
      </x:c>
      <x:c r="D91" s="1" t="str">
        <x:v>架空データ解析</x:v>
      </x:c>
      <x:c r="E91" s="1" t="str">
        <x:v>仮想課題-090</x:v>
      </x:c>
      <x:c r="F91" s="3" t="n">
        <x:v>46268.62430555555</x:v>
      </x:c>
      <x:c r="G91" s="1" t="str">
        <x:v>期限検出</x:v>
      </x:c>
      <x:c r="H91" s="1" t="str">
        <x:v>新しい課題: 仮想課題-090</x:v>
      </x:c>
      <x:c r="I91" s="1" t="str">
        <x:v>架空担当A &lt;fixture-090@example.invalid&gt;</x:v>
      </x:c>
      <x:c r="J91" s="3" t="n">
        <x:v>46274.083333333336</x:v>
      </x:c>
      <x:c r="K91" s="5" t="str">
        <x:v>https://mail.example.invalid/thread/SIM-INCA-090</x:v>
      </x:c>
      <x:c r="L91" s="1" t="str">
        <x:v>履修者：SIM-000090
曜日・時限：月曜1限
授業名：架空データ解析
教員名：架空担当A
更新内容：
・課題（仮想課題-090）が追加されました。（2026/09/10 08:00）
参照：https://portal.example.invalid/demo/SIM-INCA-090</x:v>
      </x:c>
      <x:c r="M91" s="1" t="str">
        <x:v>未確認</x:v>
      </x:c>
      <x:c r="N91" t="str"/>
      <x:c r="O91" t="str"/>
      <x:c r="P91" t="str"/>
    </x:row>
    <x:row r="92">
      <x:c r="A92" s="3" t="n">
        <x:v>46274</x:v>
      </x:c>
      <x:c r="B92" s="1" t="str">
        <x:v>SIM-INCA-091</x:v>
      </x:c>
      <x:c r="C92" s="1" t="str">
        <x:v>inCampus</x:v>
      </x:c>
      <x:c r="D92" s="1" t="str">
        <x:v>仮想心理演習</x:v>
      </x:c>
      <x:c r="E92" s="1" t="str">
        <x:v>仮想お知らせ-091</x:v>
      </x:c>
      <x:c r="F92" s="3" t="str"/>
      <x:c r="G92" s="1" t="str">
        <x:v>期限未検出・要確認</x:v>
      </x:c>
      <x:c r="H92" s="1" t="str">
        <x:v>新しいお知らせ: 仮想お知らせ-091</x:v>
      </x:c>
      <x:c r="I92" s="1" t="str">
        <x:v>架空担当B &lt;fixture-091@example.invalid&gt;</x:v>
      </x:c>
      <x:c r="J92" s="3" t="n">
        <x:v>46274.125</x:v>
      </x:c>
      <x:c r="K92" s="5" t="str">
        <x:v>https://mail.example.invalid/thread/SIM-INCA-091</x:v>
      </x:c>
      <x:c r="L92" s="1" t="str">
        <x:v>履修者：SIM-000091
曜日・時限：火曜3限
授業名：仮想心理演習
教員名：架空担当B
更新内容：
・お知らせ（仮想お知らせ-091）が追加されました。（2026/09/10 08:00）
参照：https://portal.example.invalid/demo/SIM-INCA-091</x:v>
      </x:c>
      <x:c r="M92" s="1" t="str">
        <x:v>未確認</x:v>
      </x:c>
      <x:c r="N92" t="str"/>
      <x:c r="O92" t="str"/>
      <x:c r="P92" t="str"/>
    </x:row>
    <x:row r="93">
      <x:c r="A93" s="3" t="n">
        <x:v>46274.041666666664</x:v>
      </x:c>
      <x:c r="B93" s="1" t="str">
        <x:v>SIM-INCA-092</x:v>
      </x:c>
      <x:c r="C93" s="1" t="str">
        <x:v>inCampus</x:v>
      </x:c>
      <x:c r="D93" s="1" t="str">
        <x:v>サンプル情報設計</x:v>
      </x:c>
      <x:c r="E93" s="1" t="str">
        <x:v>仮想課題-092</x:v>
      </x:c>
      <x:c r="F93" s="3" t="n">
        <x:v>46270.62430555555</x:v>
      </x:c>
      <x:c r="G93" s="1" t="str">
        <x:v>期限検出</x:v>
      </x:c>
      <x:c r="H93" s="1" t="str">
        <x:v>新しい課題: 仮想課題-092</x:v>
      </x:c>
      <x:c r="I93" s="1" t="str">
        <x:v>架空担当C &lt;fixture-092@example.invalid&gt;</x:v>
      </x:c>
      <x:c r="J93" s="3" t="n">
        <x:v>46274.166666666664</x:v>
      </x:c>
      <x:c r="K93" s="5" t="str">
        <x:v>https://mail.example.invalid/thread/SIM-INCA-092</x:v>
      </x:c>
      <x:c r="L93" s="1" t="str">
        <x:v>履修者：SIM-000092
曜日・時限：金曜2限
授業名：サンプル情報設計
教員名：架空担当C
更新内容：
・課題（仮想課題-092）が追加されました。（2026/09/10 08:00）
参照：https://portal.example.invalid/demo/SIM-INCA-092</x:v>
      </x:c>
      <x:c r="M93" s="1" t="str">
        <x:v>未確認</x:v>
      </x:c>
      <x:c r="N93" t="str"/>
      <x:c r="O93" t="str"/>
      <x:c r="P93" t="str"/>
    </x:row>
    <x:row r="94">
      <x:c r="A94" s="3" t="n">
        <x:v>46274.083333333336</x:v>
      </x:c>
      <x:c r="B94" s="1" t="str">
        <x:v>SIM-INCA-093</x:v>
      </x:c>
      <x:c r="C94" s="1" t="str">
        <x:v>inCampus</x:v>
      </x:c>
      <x:c r="D94" s="1" t="str">
        <x:v>架空データ解析</x:v>
      </x:c>
      <x:c r="E94" s="1" t="str">
        <x:v>仮想課題-093</x:v>
      </x:c>
      <x:c r="F94" s="3" t="n">
        <x:v>46271.62430555555</x:v>
      </x:c>
      <x:c r="G94" s="1" t="str">
        <x:v>期限検出</x:v>
      </x:c>
      <x:c r="H94" s="1" t="str">
        <x:v>新しい課題: 仮想課題-093</x:v>
      </x:c>
      <x:c r="I94" s="1" t="str">
        <x:v>架空担当A &lt;fixture-093@example.invalid&gt;</x:v>
      </x:c>
      <x:c r="J94" s="3" t="n">
        <x:v>46274.208333333336</x:v>
      </x:c>
      <x:c r="K94" s="5" t="str">
        <x:v>https://mail.example.invalid/thread/SIM-INCA-093</x:v>
      </x:c>
      <x:c r="L94" s="1" t="str">
        <x:v>履修者：SIM-000093
曜日・時限：月曜1限
授業名：架空データ解析
教員名：架空担当A
更新内容：
・課題（仮想課題-093）が追加されました。（2026/09/10 08:00）
参照：https://portal.example.invalid/demo/SIM-INCA-093</x:v>
      </x:c>
      <x:c r="M94" s="1" t="str">
        <x:v>未確認</x:v>
      </x:c>
      <x:c r="N94" t="str"/>
      <x:c r="O94" t="str"/>
      <x:c r="P94" t="str"/>
    </x:row>
    <x:row r="95">
      <x:c r="A95" s="3" t="n">
        <x:v>46274.125</x:v>
      </x:c>
      <x:c r="B95" s="1" t="str">
        <x:v>SIM-INCA-094</x:v>
      </x:c>
      <x:c r="C95" s="1" t="str">
        <x:v>inCampus</x:v>
      </x:c>
      <x:c r="D95" s="1" t="str">
        <x:v>仮想心理演習</x:v>
      </x:c>
      <x:c r="E95" s="1" t="str">
        <x:v>仮想課題-094</x:v>
      </x:c>
      <x:c r="F95" s="3" t="n">
        <x:v>46272.62430555555</x:v>
      </x:c>
      <x:c r="G95" s="1" t="str">
        <x:v>期限検出</x:v>
      </x:c>
      <x:c r="H95" s="1" t="str">
        <x:v>新しい課題: 仮想課題-094</x:v>
      </x:c>
      <x:c r="I95" s="1" t="str">
        <x:v>架空担当B &lt;fixture-094@example.invalid&gt;</x:v>
      </x:c>
      <x:c r="J95" s="3" t="n">
        <x:v>46274.25</x:v>
      </x:c>
      <x:c r="K95" s="5" t="str">
        <x:v>https://mail.example.invalid/thread/SIM-INCA-094</x:v>
      </x:c>
      <x:c r="L95" s="1" t="str">
        <x:v>履修者：SIM-000094
曜日・時限：火曜3限
授業名：仮想心理演習
教員名：架空担当B
更新内容：
・課題（仮想課題-094）が追加されました。（2026/09/10 08:00）
参照：https://portal.example.invalid/demo/SIM-INCA-094</x:v>
      </x:c>
      <x:c r="M95" s="1" t="str">
        <x:v>未確認</x:v>
      </x:c>
      <x:c r="N95" t="str"/>
      <x:c r="O95" t="str"/>
      <x:c r="P95" t="str"/>
    </x:row>
    <x:row r="96">
      <x:c r="A96" s="3" t="n">
        <x:v>46274.166666666664</x:v>
      </x:c>
      <x:c r="B96" s="1" t="str">
        <x:v>SIM-INCA-095</x:v>
      </x:c>
      <x:c r="C96" s="1" t="str">
        <x:v>inCampus</x:v>
      </x:c>
      <x:c r="D96" s="1" t="str">
        <x:v>サンプル情報設計</x:v>
      </x:c>
      <x:c r="E96" s="1" t="str">
        <x:v>仮想課題-095</x:v>
      </x:c>
      <x:c r="F96" s="3" t="n">
        <x:v>46273.62430555555</x:v>
      </x:c>
      <x:c r="G96" s="1" t="str">
        <x:v>期限検出</x:v>
      </x:c>
      <x:c r="H96" s="1" t="str">
        <x:v>新しい課題: 仮想課題-095</x:v>
      </x:c>
      <x:c r="I96" s="1" t="str">
        <x:v>架空担当C &lt;fixture-095@example.invalid&gt;</x:v>
      </x:c>
      <x:c r="J96" s="3" t="n">
        <x:v>46274.291666666664</x:v>
      </x:c>
      <x:c r="K96" s="5" t="str">
        <x:v>https://mail.example.invalid/thread/SIM-INCA-095</x:v>
      </x:c>
      <x:c r="L96" s="1" t="str">
        <x:v>履修者：SIM-000095
曜日・時限：金曜2限
授業名：サンプル情報設計
教員名：架空担当C
更新内容：
・課題（仮想課題-095）が追加されました。（2026/09/10 08:00）
参照：https://portal.example.invalid/demo/SIM-INCA-095</x:v>
      </x:c>
      <x:c r="M96" s="1" t="str">
        <x:v>未確認</x:v>
      </x:c>
      <x:c r="N96" t="str"/>
      <x:c r="O96" t="str"/>
      <x:c r="P96" t="str"/>
    </x:row>
    <x:row r="97">
      <x:c r="A97" s="3" t="n">
        <x:v>46274.208333333336</x:v>
      </x:c>
      <x:c r="B97" s="1" t="str">
        <x:v>SIM-INCA-096</x:v>
      </x:c>
      <x:c r="C97" s="1" t="str">
        <x:v>inCampus</x:v>
      </x:c>
      <x:c r="D97" s="1" t="str">
        <x:v>架空データ解析</x:v>
      </x:c>
      <x:c r="E97" s="1" t="str">
        <x:v>仮想課題-096</x:v>
      </x:c>
      <x:c r="F97" s="3" t="n">
        <x:v>46274.62430555555</x:v>
      </x:c>
      <x:c r="G97" s="1" t="str">
        <x:v>期限検出</x:v>
      </x:c>
      <x:c r="H97" s="1" t="str">
        <x:v>新しい課題: 仮想課題-096</x:v>
      </x:c>
      <x:c r="I97" s="1" t="str">
        <x:v>架空担当A &lt;fixture-096@example.invalid&gt;</x:v>
      </x:c>
      <x:c r="J97" s="3" t="n">
        <x:v>46274</x:v>
      </x:c>
      <x:c r="K97" s="5" t="str">
        <x:v>https://mail.example.invalid/thread/SIM-INCA-096</x:v>
      </x:c>
      <x:c r="L97" s="1" t="str">
        <x:v>履修者：SIM-000096
曜日・時限：月曜1限
授業名：架空データ解析
教員名：架空担当A
更新内容：
・課題（仮想課題-096）が追加されました。（2026/09/10 08:00）
参照：https://portal.example.invalid/demo/SIM-INCA-096</x:v>
      </x:c>
      <x:c r="M97" s="1" t="str">
        <x:v>未確認</x:v>
      </x:c>
      <x:c r="N97" t="str"/>
      <x:c r="O97" t="str"/>
      <x:c r="P97" t="str"/>
    </x:row>
    <x:row r="98">
      <x:c r="A98" s="3" t="n">
        <x:v>46274.25</x:v>
      </x:c>
      <x:c r="B98" s="1" t="str">
        <x:v>SIM-INCA-097</x:v>
      </x:c>
      <x:c r="C98" s="1" t="str">
        <x:v>inCampus</x:v>
      </x:c>
      <x:c r="D98" s="1" t="str">
        <x:v>仮想心理演習</x:v>
      </x:c>
      <x:c r="E98" s="1" t="str">
        <x:v>仮想課題-097</x:v>
      </x:c>
      <x:c r="F98" s="3" t="n">
        <x:v>46275.62430555555</x:v>
      </x:c>
      <x:c r="G98" s="1" t="str">
        <x:v>期限検出</x:v>
      </x:c>
      <x:c r="H98" s="1" t="str">
        <x:v>新しい課題: 仮想課題-097</x:v>
      </x:c>
      <x:c r="I98" s="1" t="str">
        <x:v>架空担当B &lt;fixture-097@example.invalid&gt;</x:v>
      </x:c>
      <x:c r="J98" s="3" t="n">
        <x:v>46274.041666666664</x:v>
      </x:c>
      <x:c r="K98" s="5" t="str">
        <x:v>https://mail.example.invalid/thread/SIM-INCA-097</x:v>
      </x:c>
      <x:c r="L98" s="1" t="str">
        <x:v>履修者：SIM-000097
曜日・時限：火曜3限
授業名：仮想心理演習
教員名：架空担当B
更新内容：
・課題（仮想課題-097）が追加されました。（2026/09/10 08:00）
参照：https://portal.example.invalid/demo/SIM-INCA-097</x:v>
      </x:c>
      <x:c r="M98" s="1" t="str">
        <x:v>未確認</x:v>
      </x:c>
      <x:c r="N98" t="str"/>
      <x:c r="O98" t="str"/>
      <x:c r="P98" t="str"/>
    </x:row>
    <x:row r="99">
      <x:c r="A99" s="3" t="n">
        <x:v>46274.291666666664</x:v>
      </x:c>
      <x:c r="B99" s="1" t="str">
        <x:v>SIM-INCA-098</x:v>
      </x:c>
      <x:c r="C99" s="1" t="str">
        <x:v>inCampus</x:v>
      </x:c>
      <x:c r="D99" s="1" t="str">
        <x:v>サンプル情報設計</x:v>
      </x:c>
      <x:c r="E99" s="1" t="str">
        <x:v>仮想課題-098</x:v>
      </x:c>
      <x:c r="F99" s="3" t="n">
        <x:v>46276.62430555555</x:v>
      </x:c>
      <x:c r="G99" s="1" t="str">
        <x:v>期限検出</x:v>
      </x:c>
      <x:c r="H99" s="1" t="str">
        <x:v>新しい課題: 仮想課題-098</x:v>
      </x:c>
      <x:c r="I99" s="1" t="str">
        <x:v>架空担当C &lt;fixture-098@example.invalid&gt;</x:v>
      </x:c>
      <x:c r="J99" s="3" t="n">
        <x:v>46274.083333333336</x:v>
      </x:c>
      <x:c r="K99" s="5" t="str">
        <x:v>https://mail.example.invalid/thread/SIM-INCA-098</x:v>
      </x:c>
      <x:c r="L99" s="1" t="str">
        <x:v>履修者：SIM-000098
曜日・時限：金曜2限
授業名：サンプル情報設計
教員名：架空担当C
更新内容：
・課題（仮想課題-098）が追加されました。（2026/09/10 08:00）
参照：https://portal.example.invalid/demo/SIM-INCA-098</x:v>
      </x:c>
      <x:c r="M99" s="1" t="str">
        <x:v>未確認</x:v>
      </x:c>
      <x:c r="N99" t="str"/>
      <x:c r="O99" t="str"/>
      <x:c r="P99" t="str"/>
    </x:row>
    <x:row r="100">
      <x:c r="A100" s="3" t="n">
        <x:v>46273.958333333336</x:v>
      </x:c>
      <x:c r="B100" s="1" t="str">
        <x:v>SIM-INCA-099</x:v>
      </x:c>
      <x:c r="C100" s="1" t="str">
        <x:v>inCampus</x:v>
      </x:c>
      <x:c r="D100" s="1" t="str">
        <x:v>架空データ解析</x:v>
      </x:c>
      <x:c r="E100" s="1" t="str">
        <x:v>仮想課題-099</x:v>
      </x:c>
      <x:c r="F100" s="3" t="n">
        <x:v>46277.62430555555</x:v>
      </x:c>
      <x:c r="G100" s="1" t="str">
        <x:v>期限検出</x:v>
      </x:c>
      <x:c r="H100" s="1" t="str">
        <x:v>新しい課題: 仮想課題-099</x:v>
      </x:c>
      <x:c r="I100" s="1" t="str">
        <x:v>架空担当A &lt;fixture-099@example.invalid&gt;</x:v>
      </x:c>
      <x:c r="J100" s="3" t="n">
        <x:v>46274.125</x:v>
      </x:c>
      <x:c r="K100" s="5" t="str">
        <x:v>https://mail.example.invalid/thread/SIM-INCA-099</x:v>
      </x:c>
      <x:c r="L100" s="1" t="str">
        <x:v>履修者：SIM-000099
曜日・時限：月曜1限
授業名：架空データ解析
教員名：架空担当A
更新内容：
・課題（仮想課題-099）が追加されました。（2026/09/10 08:00）
参照：https://portal.example.invalid/demo/SIM-INCA-099</x:v>
      </x:c>
      <x:c r="M100" s="1" t="str">
        <x:v>未確認</x:v>
      </x:c>
      <x:c r="N100" t="str"/>
      <x:c r="O100" t="str"/>
      <x:c r="P100" t="str"/>
    </x:row>
    <x:row r="101">
      <x:c r="A101" s="3" t="n">
        <x:v>46274</x:v>
      </x:c>
      <x:c r="B101" s="1" t="str">
        <x:v>SIM-INCA-100</x:v>
      </x:c>
      <x:c r="C101" s="1" t="str">
        <x:v>inCampus</x:v>
      </x:c>
      <x:c r="D101" s="1" t="str">
        <x:v>仮想心理演習</x:v>
      </x:c>
      <x:c r="E101" s="1" t="str">
        <x:v>仮想課題-100</x:v>
      </x:c>
      <x:c r="F101" s="3" t="n">
        <x:v>46278.62430555555</x:v>
      </x:c>
      <x:c r="G101" s="1" t="str">
        <x:v>期限検出</x:v>
      </x:c>
      <x:c r="H101" s="1" t="str">
        <x:v>新しい課題: 仮想課題-100</x:v>
      </x:c>
      <x:c r="I101" s="1" t="str">
        <x:v>架空担当B &lt;fixture-100@example.invalid&gt;</x:v>
      </x:c>
      <x:c r="J101" s="3" t="n">
        <x:v>46274.166666666664</x:v>
      </x:c>
      <x:c r="K101" s="5" t="str">
        <x:v>https://mail.example.invalid/thread/SIM-INCA-100</x:v>
      </x:c>
      <x:c r="L101" s="1" t="str">
        <x:v>履修者：SIM-000100
曜日・時限：火曜3限
授業名：仮想心理演習
教員名：架空担当B
更新内容：
・課題（仮想課題-100）が追加されました。（2026/09/10 08:00）
参照：https://portal.example.invalid/demo/SIM-INCA-100</x:v>
      </x:c>
      <x:c r="M101" s="1" t="str">
        <x:v>未確認</x:v>
      </x:c>
      <x:c r="N101" t="str"/>
      <x:c r="O101" t="str"/>
      <x:c r="P101" t="str"/>
    </x:row>
    <x:row r="102">
      <x:c r="A102" s="3" t="n">
        <x:v>46274.041666666664</x:v>
      </x:c>
      <x:c r="B102" s="1" t="str">
        <x:v>SIM-INCA-101</x:v>
      </x:c>
      <x:c r="C102" s="1" t="str">
        <x:v>inCampus</x:v>
      </x:c>
      <x:c r="D102" s="1" t="str">
        <x:v>サンプル情報設計</x:v>
      </x:c>
      <x:c r="E102" s="1" t="str">
        <x:v>仮想課題-101</x:v>
      </x:c>
      <x:c r="F102" s="3" t="n">
        <x:v>46279.62430555555</x:v>
      </x:c>
      <x:c r="G102" s="1" t="str">
        <x:v>期限検出</x:v>
      </x:c>
      <x:c r="H102" s="1" t="str">
        <x:v>新しい課題: 仮想課題-101</x:v>
      </x:c>
      <x:c r="I102" s="1" t="str">
        <x:v>架空担当C &lt;fixture-101@example.invalid&gt;</x:v>
      </x:c>
      <x:c r="J102" s="3" t="n">
        <x:v>46274.208333333336</x:v>
      </x:c>
      <x:c r="K102" s="5" t="str">
        <x:v>https://mail.example.invalid/thread/SIM-INCA-101</x:v>
      </x:c>
      <x:c r="L102" s="1" t="str">
        <x:v>履修者：SIM-000101
曜日・時限：金曜2限
授業名：サンプル情報設計
教員名：架空担当C
更新内容：
・課題（仮想課題-101）が追加されました。（2026/09/10 08:00）
参照：https://portal.example.invalid/demo/SIM-INCA-101</x:v>
      </x:c>
      <x:c r="M102" s="1" t="str">
        <x:v>未確認</x:v>
      </x:c>
      <x:c r="N102" t="str"/>
      <x:c r="O102" t="str"/>
      <x:c r="P102" t="str"/>
    </x:row>
    <x:row r="103">
      <x:c r="A103" s="3" t="n">
        <x:v>46274.083333333336</x:v>
      </x:c>
      <x:c r="B103" s="1" t="str">
        <x:v>SIM-INCA-102</x:v>
      </x:c>
      <x:c r="C103" s="1" t="str">
        <x:v>inCampus</x:v>
      </x:c>
      <x:c r="D103" s="1" t="str">
        <x:v>架空データ解析</x:v>
      </x:c>
      <x:c r="E103" s="1" t="str">
        <x:v>仮想課題-102</x:v>
      </x:c>
      <x:c r="F103" s="3" t="n">
        <x:v>46280.62430555555</x:v>
      </x:c>
      <x:c r="G103" s="1" t="str">
        <x:v>期限検出</x:v>
      </x:c>
      <x:c r="H103" s="1" t="str">
        <x:v>新しい課題: 仮想課題-102</x:v>
      </x:c>
      <x:c r="I103" s="1" t="str">
        <x:v>架空担当A &lt;fixture-102@example.invalid&gt;</x:v>
      </x:c>
      <x:c r="J103" s="3" t="n">
        <x:v>46274.25</x:v>
      </x:c>
      <x:c r="K103" s="5" t="str">
        <x:v>https://mail.example.invalid/thread/SIM-INCA-102</x:v>
      </x:c>
      <x:c r="L103" s="1" t="str">
        <x:v>履修者：SIM-000102
曜日・時限：月曜1限
授業名：架空データ解析
教員名：架空担当A
更新内容：
・課題（仮想課題-102）が追加されました。（2026/09/10 08:00）
参照：https://portal.example.invalid/demo/SIM-INCA-102</x:v>
      </x:c>
      <x:c r="M103" s="1" t="str">
        <x:v>未確認</x:v>
      </x:c>
      <x:c r="N103" t="str"/>
      <x:c r="O103" t="str"/>
      <x:c r="P103" t="str"/>
    </x:row>
    <x:row r="104">
      <x:c r="A104" s="3" t="n">
        <x:v>46274.125</x:v>
      </x:c>
      <x:c r="B104" s="1" t="str">
        <x:v>SIM-INCA-103</x:v>
      </x:c>
      <x:c r="C104" s="1" t="str">
        <x:v>inCampus</x:v>
      </x:c>
      <x:c r="D104" s="1" t="str">
        <x:v>仮想心理演習</x:v>
      </x:c>
      <x:c r="E104" s="1" t="str">
        <x:v>仮想課題-103</x:v>
      </x:c>
      <x:c r="F104" s="3" t="n">
        <x:v>46281.62430555555</x:v>
      </x:c>
      <x:c r="G104" s="1" t="str">
        <x:v>期限検出</x:v>
      </x:c>
      <x:c r="H104" s="1" t="str">
        <x:v>新しい課題: 仮想課題-103</x:v>
      </x:c>
      <x:c r="I104" s="1" t="str">
        <x:v>架空担当B &lt;fixture-103@example.invalid&gt;</x:v>
      </x:c>
      <x:c r="J104" s="3" t="n">
        <x:v>46274.291666666664</x:v>
      </x:c>
      <x:c r="K104" s="5" t="str">
        <x:v>https://mail.example.invalid/thread/SIM-INCA-103</x:v>
      </x:c>
      <x:c r="L104" s="1" t="str">
        <x:v>履修者：SIM-000103
曜日・時限：火曜3限
授業名：仮想心理演習
教員名：架空担当B
更新内容：
・課題（仮想課題-103）が追加されました。（2026/09/10 08:00）
参照：https://portal.example.invalid/demo/SIM-INCA-103</x:v>
      </x:c>
      <x:c r="M104" s="1" t="str">
        <x:v>未確認</x:v>
      </x:c>
      <x:c r="N104" t="str"/>
      <x:c r="O104" t="str"/>
      <x:c r="P104" t="str"/>
    </x:row>
    <x:row r="105">
      <x:c r="A105" s="3" t="n">
        <x:v>46274.166666666664</x:v>
      </x:c>
      <x:c r="B105" s="1" t="str">
        <x:v>SIM-INCA-104</x:v>
      </x:c>
      <x:c r="C105" s="1" t="str">
        <x:v>inCampus</x:v>
      </x:c>
      <x:c r="D105" s="1" t="str">
        <x:v>サンプル情報設計</x:v>
      </x:c>
      <x:c r="E105" s="1" t="str">
        <x:v>仮想お知らせ-104</x:v>
      </x:c>
      <x:c r="F105" s="3" t="str"/>
      <x:c r="G105" s="1" t="str">
        <x:v>期限未検出・要確認</x:v>
      </x:c>
      <x:c r="H105" s="1" t="str">
        <x:v>新しいお知らせ: 仮想お知らせ-104</x:v>
      </x:c>
      <x:c r="I105" s="1" t="str">
        <x:v>架空担当C &lt;fixture-104@example.invalid&gt;</x:v>
      </x:c>
      <x:c r="J105" s="3" t="n">
        <x:v>46274</x:v>
      </x:c>
      <x:c r="K105" s="5" t="str">
        <x:v>https://mail.example.invalid/thread/SIM-INCA-104</x:v>
      </x:c>
      <x:c r="L105" s="1" t="str">
        <x:v>履修者：SIM-000104
曜日・時限：金曜2限
授業名：サンプル情報設計
教員名：架空担当C
更新内容：
・お知らせ（仮想お知らせ-104）が追加されました。（2026/09/10 08:00）
参照：https://portal.example.invalid/demo/SIM-INCA-104</x:v>
      </x:c>
      <x:c r="M105" s="1" t="str">
        <x:v>未確認</x:v>
      </x:c>
      <x:c r="N105" t="str"/>
      <x:c r="O105" t="str"/>
      <x:c r="P105" t="str"/>
    </x:row>
    <x:row r="106">
      <x:c r="A106" s="3" t="n">
        <x:v>46274.208333333336</x:v>
      </x:c>
      <x:c r="B106" s="1" t="str">
        <x:v>SIM-INCA-105</x:v>
      </x:c>
      <x:c r="C106" s="1" t="str">
        <x:v>inCampus</x:v>
      </x:c>
      <x:c r="D106" s="1" t="str">
        <x:v>架空データ解析</x:v>
      </x:c>
      <x:c r="E106" s="1" t="str">
        <x:v>仮想課題-105</x:v>
      </x:c>
      <x:c r="F106" s="3" t="n">
        <x:v>46283.62430555555</x:v>
      </x:c>
      <x:c r="G106" s="1" t="str">
        <x:v>期限検出</x:v>
      </x:c>
      <x:c r="H106" s="1" t="str">
        <x:v>新しい課題: 仮想課題-105</x:v>
      </x:c>
      <x:c r="I106" s="1" t="str">
        <x:v>架空担当A &lt;fixture-105@example.invalid&gt;</x:v>
      </x:c>
      <x:c r="J106" s="3" t="n">
        <x:v>46274.041666666664</x:v>
      </x:c>
      <x:c r="K106" s="5" t="str">
        <x:v>https://mail.example.invalid/thread/SIM-INCA-105</x:v>
      </x:c>
      <x:c r="L106" s="1" t="str">
        <x:v>履修者：SIM-000105
曜日・時限：月曜1限
授業名：架空データ解析
教員名：架空担当A
更新内容：
・課題（仮想課題-105）が追加されました。（2026/09/10 08:00）
参照：https://portal.example.invalid/demo/SIM-INCA-105</x:v>
      </x:c>
      <x:c r="M106" s="1" t="str">
        <x:v>未確認</x:v>
      </x:c>
      <x:c r="N106" t="str"/>
      <x:c r="O106" t="str"/>
      <x:c r="P106" t="str"/>
    </x:row>
    <x:row r="107">
      <x:c r="A107" s="3" t="n">
        <x:v>46274.25</x:v>
      </x:c>
      <x:c r="B107" s="1" t="str">
        <x:v>SIM-INCA-106</x:v>
      </x:c>
      <x:c r="C107" s="1" t="str">
        <x:v>inCampus</x:v>
      </x:c>
      <x:c r="D107" s="1" t="str">
        <x:v>仮想心理演習</x:v>
      </x:c>
      <x:c r="E107" s="1" t="str">
        <x:v>仮想課題-106</x:v>
      </x:c>
      <x:c r="F107" s="3" t="n">
        <x:v>46284.62430555555</x:v>
      </x:c>
      <x:c r="G107" s="1" t="str">
        <x:v>期限検出</x:v>
      </x:c>
      <x:c r="H107" s="1" t="str">
        <x:v>新しい課題: 仮想課題-106</x:v>
      </x:c>
      <x:c r="I107" s="1" t="str">
        <x:v>架空担当B &lt;fixture-106@example.invalid&gt;</x:v>
      </x:c>
      <x:c r="J107" s="3" t="n">
        <x:v>46274.083333333336</x:v>
      </x:c>
      <x:c r="K107" s="5" t="str">
        <x:v>https://mail.example.invalid/thread/SIM-INCA-106</x:v>
      </x:c>
      <x:c r="L107" s="1" t="str">
        <x:v>履修者：SIM-000106
曜日・時限：火曜3限
授業名：仮想心理演習
教員名：架空担当B
更新内容：
・課題（仮想課題-106）が追加されました。（2026/09/10 08:00）
参照：https://portal.example.invalid/demo/SIM-INCA-106</x:v>
      </x:c>
      <x:c r="M107" s="1" t="str">
        <x:v>未確認</x:v>
      </x:c>
      <x:c r="N107" t="str"/>
      <x:c r="O107" t="str"/>
      <x:c r="P107" t="str"/>
    </x:row>
    <x:row r="108">
      <x:c r="A108" s="3" t="n">
        <x:v>46274.291666666664</x:v>
      </x:c>
      <x:c r="B108" s="1" t="str">
        <x:v>SIM-INCA-107</x:v>
      </x:c>
      <x:c r="C108" s="1" t="str">
        <x:v>inCampus</x:v>
      </x:c>
      <x:c r="D108" s="1" t="str">
        <x:v>サンプル情報設計</x:v>
      </x:c>
      <x:c r="E108" s="1" t="str">
        <x:v>仮想課題-107</x:v>
      </x:c>
      <x:c r="F108" s="3" t="n">
        <x:v>46285.62430555555</x:v>
      </x:c>
      <x:c r="G108" s="1" t="str">
        <x:v>期限検出</x:v>
      </x:c>
      <x:c r="H108" s="1" t="str">
        <x:v>新しい課題: 仮想課題-107</x:v>
      </x:c>
      <x:c r="I108" s="1" t="str">
        <x:v>架空担当C &lt;fixture-107@example.invalid&gt;</x:v>
      </x:c>
      <x:c r="J108" s="3" t="n">
        <x:v>46274.125</x:v>
      </x:c>
      <x:c r="K108" s="5" t="str">
        <x:v>https://mail.example.invalid/thread/SIM-INCA-107</x:v>
      </x:c>
      <x:c r="L108" s="1" t="str">
        <x:v>履修者：SIM-000107
曜日・時限：金曜2限
授業名：サンプル情報設計
教員名：架空担当C
更新内容：
・課題（仮想課題-107）が追加されました。（2026/09/10 08:00）
参照：https://portal.example.invalid/demo/SIM-INCA-107</x:v>
      </x:c>
      <x:c r="M108" s="1" t="str">
        <x:v>未確認</x:v>
      </x:c>
      <x:c r="N108" t="str"/>
      <x:c r="O108" t="str"/>
      <x:c r="P108" t="str"/>
    </x:row>
    <x:row r="109">
      <x:c r="A109" s="3" t="n">
        <x:v>46273.958333333336</x:v>
      </x:c>
      <x:c r="B109" s="1" t="str">
        <x:v>SIM-INCA-108</x:v>
      </x:c>
      <x:c r="C109" s="1" t="str">
        <x:v>inCampus</x:v>
      </x:c>
      <x:c r="D109" s="1" t="str">
        <x:v>架空データ解析</x:v>
      </x:c>
      <x:c r="E109" s="1" t="str">
        <x:v>仮想課題-108</x:v>
      </x:c>
      <x:c r="F109" s="3" t="n">
        <x:v>46268.62430555555</x:v>
      </x:c>
      <x:c r="G109" s="1" t="str">
        <x:v>期限検出</x:v>
      </x:c>
      <x:c r="H109" s="1" t="str">
        <x:v>新しい課題: 仮想課題-108</x:v>
      </x:c>
      <x:c r="I109" s="1" t="str">
        <x:v>架空担当A &lt;fixture-108@example.invalid&gt;</x:v>
      </x:c>
      <x:c r="J109" s="3" t="n">
        <x:v>46274.166666666664</x:v>
      </x:c>
      <x:c r="K109" s="5" t="str">
        <x:v>https://mail.example.invalid/thread/SIM-INCA-108</x:v>
      </x:c>
      <x:c r="L109" s="1" t="str">
        <x:v>履修者：SIM-000108
曜日・時限：月曜1限
授業名：架空データ解析
教員名：架空担当A
更新内容：
・課題（仮想課題-108）が追加されました。（2026/09/10 08:00）
参照：https://portal.example.invalid/demo/SIM-INCA-108</x:v>
      </x:c>
      <x:c r="M109" s="1" t="str">
        <x:v>未確認</x:v>
      </x:c>
      <x:c r="N109" t="str"/>
      <x:c r="O109" t="str"/>
      <x:c r="P109" t="str"/>
    </x:row>
    <x:row r="110">
      <x:c r="A110" s="3" t="n">
        <x:v>46274</x:v>
      </x:c>
      <x:c r="B110" s="1" t="str">
        <x:v>SIM-INCA-109</x:v>
      </x:c>
      <x:c r="C110" s="1" t="str">
        <x:v>inCampus</x:v>
      </x:c>
      <x:c r="D110" s="1" t="str">
        <x:v>仮想心理演習</x:v>
      </x:c>
      <x:c r="E110" s="1" t="str">
        <x:v>仮想課題-109</x:v>
      </x:c>
      <x:c r="F110" s="3" t="n">
        <x:v>46269.62430555555</x:v>
      </x:c>
      <x:c r="G110" s="1" t="str">
        <x:v>期限検出</x:v>
      </x:c>
      <x:c r="H110" s="1" t="str">
        <x:v>新しい課題: 仮想課題-109</x:v>
      </x:c>
      <x:c r="I110" s="1" t="str">
        <x:v>架空担当B &lt;fixture-109@example.invalid&gt;</x:v>
      </x:c>
      <x:c r="J110" s="3" t="n">
        <x:v>46274.208333333336</x:v>
      </x:c>
      <x:c r="K110" s="5" t="str">
        <x:v>https://mail.example.invalid/thread/SIM-INCA-109</x:v>
      </x:c>
      <x:c r="L110" s="1" t="str">
        <x:v>履修者：SIM-000109
曜日・時限：火曜3限
授業名：仮想心理演習
教員名：架空担当B
更新内容：
・課題（仮想課題-109）が追加されました。（2026/09/10 08:00）
参照：https://portal.example.invalid/demo/SIM-INCA-109</x:v>
      </x:c>
      <x:c r="M110" s="1" t="str">
        <x:v>未確認</x:v>
      </x:c>
      <x:c r="N110" t="str"/>
      <x:c r="O110" t="str"/>
      <x:c r="P110" t="str"/>
    </x:row>
    <x:row r="111">
      <x:c r="A111" s="3" t="n">
        <x:v>46274.041666666664</x:v>
      </x:c>
      <x:c r="B111" s="1" t="str">
        <x:v>SIM-INCA-110</x:v>
      </x:c>
      <x:c r="C111" s="1" t="str">
        <x:v>inCampus</x:v>
      </x:c>
      <x:c r="D111" s="1" t="str">
        <x:v>サンプル情報設計</x:v>
      </x:c>
      <x:c r="E111" s="1" t="str">
        <x:v>仮想課題-110</x:v>
      </x:c>
      <x:c r="F111" s="3" t="n">
        <x:v>46270.62430555555</x:v>
      </x:c>
      <x:c r="G111" s="1" t="str">
        <x:v>期限検出</x:v>
      </x:c>
      <x:c r="H111" s="1" t="str">
        <x:v>新しい課題: 仮想課題-110</x:v>
      </x:c>
      <x:c r="I111" s="1" t="str">
        <x:v>架空担当C &lt;fixture-110@example.invalid&gt;</x:v>
      </x:c>
      <x:c r="J111" s="3" t="n">
        <x:v>46274.25</x:v>
      </x:c>
      <x:c r="K111" s="5" t="str">
        <x:v>https://mail.example.invalid/thread/SIM-INCA-110</x:v>
      </x:c>
      <x:c r="L111" s="1" t="str">
        <x:v>履修者：SIM-000110
曜日・時限：金曜2限
授業名：サンプル情報設計
教員名：架空担当C
更新内容：
・課題（仮想課題-110）が追加されました。（2026/09/10 08:00）
参照：https://portal.example.invalid/demo/SIM-INCA-110</x:v>
      </x:c>
      <x:c r="M111" s="1" t="str">
        <x:v>未確認</x:v>
      </x:c>
      <x:c r="N111" t="str"/>
      <x:c r="O111" t="str"/>
      <x:c r="P111" t="str"/>
    </x:row>
    <x:row r="112">
      <x:c r="A112" s="3" t="n">
        <x:v>46274.083333333336</x:v>
      </x:c>
      <x:c r="B112" s="1" t="str">
        <x:v>SIM-INCA-111</x:v>
      </x:c>
      <x:c r="C112" s="1" t="str">
        <x:v>inCampus</x:v>
      </x:c>
      <x:c r="D112" s="1" t="str">
        <x:v>架空データ解析</x:v>
      </x:c>
      <x:c r="E112" s="1" t="str">
        <x:v>仮想課題-111</x:v>
      </x:c>
      <x:c r="F112" s="3" t="n">
        <x:v>46271.62430555555</x:v>
      </x:c>
      <x:c r="G112" s="1" t="str">
        <x:v>期限検出</x:v>
      </x:c>
      <x:c r="H112" s="1" t="str">
        <x:v>新しい課題: 仮想課題-111</x:v>
      </x:c>
      <x:c r="I112" s="1" t="str">
        <x:v>架空担当A &lt;fixture-111@example.invalid&gt;</x:v>
      </x:c>
      <x:c r="J112" s="3" t="n">
        <x:v>46274.291666666664</x:v>
      </x:c>
      <x:c r="K112" s="5" t="str">
        <x:v>https://mail.example.invalid/thread/SIM-INCA-111</x:v>
      </x:c>
      <x:c r="L112" s="1" t="str">
        <x:v>履修者：SIM-000111
曜日・時限：月曜1限
授業名：架空データ解析
教員名：架空担当A
更新内容：
・課題（仮想課題-111）が追加されました。（2026/09/10 08:00）
参照：https://portal.example.invalid/demo/SIM-INCA-111</x:v>
      </x:c>
      <x:c r="M112" s="1" t="str">
        <x:v>未確認</x:v>
      </x:c>
      <x:c r="N112" t="str"/>
      <x:c r="O112" t="str"/>
      <x:c r="P112" t="str"/>
    </x:row>
    <x:row r="113">
      <x:c r="A113" s="3" t="n">
        <x:v>46274.125</x:v>
      </x:c>
      <x:c r="B113" s="1" t="str">
        <x:v>SIM-INCA-112</x:v>
      </x:c>
      <x:c r="C113" s="1" t="str">
        <x:v>inCampus</x:v>
      </x:c>
      <x:c r="D113" s="1" t="str">
        <x:v>仮想心理演習</x:v>
      </x:c>
      <x:c r="E113" s="1" t="str">
        <x:v>仮想課題-112</x:v>
      </x:c>
      <x:c r="F113" s="3" t="n">
        <x:v>46272.62430555555</x:v>
      </x:c>
      <x:c r="G113" s="1" t="str">
        <x:v>期限検出</x:v>
      </x:c>
      <x:c r="H113" s="1" t="str">
        <x:v>新しい課題: 仮想課題-112</x:v>
      </x:c>
      <x:c r="I113" s="1" t="str">
        <x:v>架空担当B &lt;fixture-112@example.invalid&gt;</x:v>
      </x:c>
      <x:c r="J113" s="3" t="n">
        <x:v>46274</x:v>
      </x:c>
      <x:c r="K113" s="5" t="str">
        <x:v>https://mail.example.invalid/thread/SIM-INCA-112</x:v>
      </x:c>
      <x:c r="L113" s="1" t="str">
        <x:v>履修者：SIM-000112
曜日・時限：火曜3限
授業名：仮想心理演習
教員名：架空担当B
更新内容：
・課題（仮想課題-112）が追加されました。（2026/09/10 08:00）
参照：https://portal.example.invalid/demo/SIM-INCA-112</x:v>
      </x:c>
      <x:c r="M113" s="1" t="str">
        <x:v>未確認</x:v>
      </x:c>
      <x:c r="N113" t="str"/>
      <x:c r="O113" t="str"/>
      <x:c r="P113" t="str"/>
    </x:row>
    <x:row r="114">
      <x:c r="A114" s="3" t="n">
        <x:v>46274.166666666664</x:v>
      </x:c>
      <x:c r="B114" s="1" t="str">
        <x:v>SIM-INCA-113</x:v>
      </x:c>
      <x:c r="C114" s="1" t="str">
        <x:v>inCampus</x:v>
      </x:c>
      <x:c r="D114" s="1" t="str">
        <x:v>サンプル情報設計</x:v>
      </x:c>
      <x:c r="E114" s="1" t="str">
        <x:v>仮想課題-113</x:v>
      </x:c>
      <x:c r="F114" s="3" t="n">
        <x:v>46273.62430555555</x:v>
      </x:c>
      <x:c r="G114" s="1" t="str">
        <x:v>期限検出</x:v>
      </x:c>
      <x:c r="H114" s="1" t="str">
        <x:v>新しい課題: 仮想課題-113</x:v>
      </x:c>
      <x:c r="I114" s="1" t="str">
        <x:v>架空担当C &lt;fixture-113@example.invalid&gt;</x:v>
      </x:c>
      <x:c r="J114" s="3" t="n">
        <x:v>46274.041666666664</x:v>
      </x:c>
      <x:c r="K114" s="5" t="str">
        <x:v>https://mail.example.invalid/thread/SIM-INCA-113</x:v>
      </x:c>
      <x:c r="L114" s="1" t="str">
        <x:v>履修者：SIM-000113
曜日・時限：金曜2限
授業名：サンプル情報設計
教員名：架空担当C
更新内容：
・課題（仮想課題-113）が追加されました。（2026/09/10 08:00）
参照：https://portal.example.invalid/demo/SIM-INCA-113</x:v>
      </x:c>
      <x:c r="M114" s="1" t="str">
        <x:v>未確認</x:v>
      </x:c>
      <x:c r="N114" t="str"/>
      <x:c r="O114" t="str"/>
      <x:c r="P114" t="str"/>
    </x:row>
    <x:row r="115">
      <x:c r="A115" s="3" t="n">
        <x:v>46274.208333333336</x:v>
      </x:c>
      <x:c r="B115" s="1" t="str">
        <x:v>SIM-INCA-114</x:v>
      </x:c>
      <x:c r="C115" s="1" t="str">
        <x:v>inCampus</x:v>
      </x:c>
      <x:c r="D115" s="1" t="str">
        <x:v>架空データ解析</x:v>
      </x:c>
      <x:c r="E115" s="1" t="str">
        <x:v>仮想課題-114</x:v>
      </x:c>
      <x:c r="F115" s="3" t="n">
        <x:v>46274.62430555555</x:v>
      </x:c>
      <x:c r="G115" s="1" t="str">
        <x:v>期限検出</x:v>
      </x:c>
      <x:c r="H115" s="1" t="str">
        <x:v>新しい課題: 仮想課題-114</x:v>
      </x:c>
      <x:c r="I115" s="1" t="str">
        <x:v>架空担当A &lt;fixture-114@example.invalid&gt;</x:v>
      </x:c>
      <x:c r="J115" s="3" t="n">
        <x:v>46274.083333333336</x:v>
      </x:c>
      <x:c r="K115" s="5" t="str">
        <x:v>https://mail.example.invalid/thread/SIM-INCA-114</x:v>
      </x:c>
      <x:c r="L115" s="1" t="str">
        <x:v>履修者：SIM-000114
曜日・時限：月曜1限
授業名：架空データ解析
教員名：架空担当A
更新内容：
・課題（仮想課題-114）が追加されました。（2026/09/10 08:00）
参照：https://portal.example.invalid/demo/SIM-INCA-114</x:v>
      </x:c>
      <x:c r="M115" s="1" t="str">
        <x:v>未確認</x:v>
      </x:c>
      <x:c r="N115" t="str"/>
      <x:c r="O115" t="str"/>
      <x:c r="P115" t="str"/>
    </x:row>
    <x:row r="116">
      <x:c r="A116" s="3" t="n">
        <x:v>46274.25</x:v>
      </x:c>
      <x:c r="B116" s="1" t="str">
        <x:v>SIM-INCA-115</x:v>
      </x:c>
      <x:c r="C116" s="1" t="str">
        <x:v>inCampus</x:v>
      </x:c>
      <x:c r="D116" s="1" t="str">
        <x:v>仮想心理演習</x:v>
      </x:c>
      <x:c r="E116" s="1" t="str">
        <x:v>仮想課題-115</x:v>
      </x:c>
      <x:c r="F116" s="3" t="n">
        <x:v>46275.62430555555</x:v>
      </x:c>
      <x:c r="G116" s="1" t="str">
        <x:v>期限検出</x:v>
      </x:c>
      <x:c r="H116" s="1" t="str">
        <x:v>新しい課題: 仮想課題-115</x:v>
      </x:c>
      <x:c r="I116" s="1" t="str">
        <x:v>架空担当B &lt;fixture-115@example.invalid&gt;</x:v>
      </x:c>
      <x:c r="J116" s="3" t="n">
        <x:v>46274.125</x:v>
      </x:c>
      <x:c r="K116" s="5" t="str">
        <x:v>https://mail.example.invalid/thread/SIM-INCA-115</x:v>
      </x:c>
      <x:c r="L116" s="1" t="str">
        <x:v>履修者：SIM-000115
曜日・時限：火曜3限
授業名：仮想心理演習
教員名：架空担当B
更新内容：
・課題（仮想課題-115）が追加されました。（2026/09/10 08:00）
参照：https://portal.example.invalid/demo/SIM-INCA-115</x:v>
      </x:c>
      <x:c r="M116" s="1" t="str">
        <x:v>未確認</x:v>
      </x:c>
      <x:c r="N116" t="str"/>
      <x:c r="O116" t="str"/>
      <x:c r="P116" t="str"/>
    </x:row>
    <x:row r="117">
      <x:c r="A117" s="3" t="n">
        <x:v>46274.291666666664</x:v>
      </x:c>
      <x:c r="B117" s="1" t="str">
        <x:v>SIM-INCA-116</x:v>
      </x:c>
      <x:c r="C117" s="1" t="str">
        <x:v>inCampus</x:v>
      </x:c>
      <x:c r="D117" s="1" t="str">
        <x:v>サンプル情報設計</x:v>
      </x:c>
      <x:c r="E117" s="1" t="str">
        <x:v>仮想課題-116</x:v>
      </x:c>
      <x:c r="F117" s="3" t="n">
        <x:v>46276.62430555555</x:v>
      </x:c>
      <x:c r="G117" s="1" t="str">
        <x:v>期限検出</x:v>
      </x:c>
      <x:c r="H117" s="1" t="str">
        <x:v>新しい課題: 仮想課題-116</x:v>
      </x:c>
      <x:c r="I117" s="1" t="str">
        <x:v>架空担当C &lt;fixture-116@example.invalid&gt;</x:v>
      </x:c>
      <x:c r="J117" s="3" t="n">
        <x:v>46274.166666666664</x:v>
      </x:c>
      <x:c r="K117" s="5" t="str">
        <x:v>https://mail.example.invalid/thread/SIM-INCA-116</x:v>
      </x:c>
      <x:c r="L117" s="1" t="str">
        <x:v>履修者：SIM-000116
曜日・時限：金曜2限
授業名：サンプル情報設計
教員名：架空担当C
更新内容：
・課題（仮想課題-116）が追加されました。（2026/09/10 08:00）
参照：https://portal.example.invalid/demo/SIM-INCA-116</x:v>
      </x:c>
      <x:c r="M117" s="1" t="str">
        <x:v>未確認</x:v>
      </x:c>
      <x:c r="N117" t="str"/>
      <x:c r="O117" t="str"/>
      <x:c r="P117" t="str"/>
    </x:row>
    <x:row r="118">
      <x:c r="A118" s="3" t="n">
        <x:v>46273.958333333336</x:v>
      </x:c>
      <x:c r="B118" s="1" t="str">
        <x:v>SIM-INCA-117</x:v>
      </x:c>
      <x:c r="C118" s="1" t="str">
        <x:v>inCampus</x:v>
      </x:c>
      <x:c r="D118" s="1" t="str">
        <x:v>架空データ解析</x:v>
      </x:c>
      <x:c r="E118" s="1" t="str">
        <x:v>仮想お知らせ-117</x:v>
      </x:c>
      <x:c r="F118" s="3" t="str"/>
      <x:c r="G118" s="1" t="str">
        <x:v>期限未検出・要確認</x:v>
      </x:c>
      <x:c r="H118" s="1" t="str">
        <x:v>新しいお知らせ: 仮想お知らせ-117</x:v>
      </x:c>
      <x:c r="I118" s="1" t="str">
        <x:v>架空担当A &lt;fixture-117@example.invalid&gt;</x:v>
      </x:c>
      <x:c r="J118" s="3" t="n">
        <x:v>46274.208333333336</x:v>
      </x:c>
      <x:c r="K118" s="5" t="str">
        <x:v>https://mail.example.invalid/thread/SIM-INCA-117</x:v>
      </x:c>
      <x:c r="L118" s="1" t="str">
        <x:v>履修者：SIM-000117
曜日・時限：月曜1限
授業名：架空データ解析
教員名：架空担当A
更新内容：
・お知らせ（仮想お知らせ-117）が追加されました。（2026/09/10 08:00）
参照：https://portal.example.invalid/demo/SIM-INCA-117</x:v>
      </x:c>
      <x:c r="M118" s="1" t="str">
        <x:v>未確認</x:v>
      </x:c>
      <x:c r="N118" t="str"/>
      <x:c r="O118" t="str"/>
      <x:c r="P118" t="str"/>
    </x:row>
    <x:row r="119">
      <x:c r="A119" s="3" t="n">
        <x:v>46274</x:v>
      </x:c>
      <x:c r="B119" s="1" t="str">
        <x:v>SIM-INCA-118</x:v>
      </x:c>
      <x:c r="C119" s="1" t="str">
        <x:v>inCampus</x:v>
      </x:c>
      <x:c r="D119" s="1" t="str">
        <x:v>仮想心理演習</x:v>
      </x:c>
      <x:c r="E119" s="1" t="str">
        <x:v>仮想課題-118</x:v>
      </x:c>
      <x:c r="F119" s="3" t="n">
        <x:v>46278.62430555555</x:v>
      </x:c>
      <x:c r="G119" s="1" t="str">
        <x:v>期限検出</x:v>
      </x:c>
      <x:c r="H119" s="1" t="str">
        <x:v>新しい課題: 仮想課題-118</x:v>
      </x:c>
      <x:c r="I119" s="1" t="str">
        <x:v>架空担当B &lt;fixture-118@example.invalid&gt;</x:v>
      </x:c>
      <x:c r="J119" s="3" t="n">
        <x:v>46274.25</x:v>
      </x:c>
      <x:c r="K119" s="5" t="str">
        <x:v>https://mail.example.invalid/thread/SIM-INCA-118</x:v>
      </x:c>
      <x:c r="L119" s="1" t="str">
        <x:v>履修者：SIM-000118
曜日・時限：火曜3限
授業名：仮想心理演習
教員名：架空担当B
更新内容：
・課題（仮想課題-118）が追加されました。（2026/09/10 08:00）
参照：https://portal.example.invalid/demo/SIM-INCA-118</x:v>
      </x:c>
      <x:c r="M119" s="1" t="str">
        <x:v>未確認</x:v>
      </x:c>
      <x:c r="N119" t="str"/>
      <x:c r="O119" t="str"/>
      <x:c r="P119" t="str"/>
    </x:row>
    <x:row r="120">
      <x:c r="A120" s="3" t="n">
        <x:v>46274.041666666664</x:v>
      </x:c>
      <x:c r="B120" s="1" t="str">
        <x:v>SIM-INCA-119</x:v>
      </x:c>
      <x:c r="C120" s="1" t="str">
        <x:v>inCampus</x:v>
      </x:c>
      <x:c r="D120" s="1" t="str">
        <x:v>サンプル情報設計</x:v>
      </x:c>
      <x:c r="E120" s="1" t="str">
        <x:v>仮想課題-119</x:v>
      </x:c>
      <x:c r="F120" s="3" t="n">
        <x:v>46279.62430555555</x:v>
      </x:c>
      <x:c r="G120" s="1" t="str">
        <x:v>期限検出</x:v>
      </x:c>
      <x:c r="H120" s="1" t="str">
        <x:v>新しい課題: 仮想課題-119</x:v>
      </x:c>
      <x:c r="I120" s="1" t="str">
        <x:v>架空担当C &lt;fixture-119@example.invalid&gt;</x:v>
      </x:c>
      <x:c r="J120" s="3" t="n">
        <x:v>46274.291666666664</x:v>
      </x:c>
      <x:c r="K120" s="5" t="str">
        <x:v>https://mail.example.invalid/thread/SIM-INCA-119</x:v>
      </x:c>
      <x:c r="L120" s="1" t="str">
        <x:v>履修者：SIM-000119
曜日・時限：金曜2限
授業名：サンプル情報設計
教員名：架空担当C
更新内容：
・課題（仮想課題-119）が追加されました。（2026/09/10 08:00）
参照：https://portal.example.invalid/demo/SIM-INCA-119</x:v>
      </x:c>
      <x:c r="M120" s="1" t="str">
        <x:v>未確認</x:v>
      </x:c>
      <x:c r="N120" t="str"/>
      <x:c r="O120" t="str"/>
      <x:c r="P120" t="str"/>
    </x:row>
    <x:row r="121">
      <x:c r="A121" s="3" t="n">
        <x:v>46274.083333333336</x:v>
      </x:c>
      <x:c r="B121" s="1" t="str">
        <x:v>SIM-INCA-120</x:v>
      </x:c>
      <x:c r="C121" s="1" t="str">
        <x:v>inCampus</x:v>
      </x:c>
      <x:c r="D121" s="1" t="str">
        <x:v>架空データ解析</x:v>
      </x:c>
      <x:c r="E121" s="1" t="str">
        <x:v>仮想課題-120</x:v>
      </x:c>
      <x:c r="F121" t="n">
        <x:v>46280.62430555555</x:v>
      </x:c>
      <x:c r="G121" s="1" t="str">
        <x:v>期限検出</x:v>
      </x:c>
      <x:c r="H121" s="1" t="str">
        <x:v>新しい課題: 仮想課題-120</x:v>
      </x:c>
      <x:c r="I121" s="1" t="str">
        <x:v>架空担当A &lt;fixture-120@example.invalid&gt;</x:v>
      </x:c>
      <x:c r="J121" s="3" t="n">
        <x:v>46274</x:v>
      </x:c>
      <x:c r="K121" s="5" t="str">
        <x:v>https://mail.example.invalid/thread/SIM-INCA-120</x:v>
      </x:c>
      <x:c r="L121" s="1" t="str">
        <x:v>履修者：SIM-000120
曜日・時限：月曜1限
授業名：架空データ解析
教員名：架空担当A
更新内容：
・課題（仮想課題-120）が追加されました。（2026/09/10 08:00）
参照：https://portal.example.invalid/demo/SIM-INCA-120</x:v>
      </x:c>
      <x:c r="M121" s="1" t="str">
        <x:v>未確認</x:v>
      </x:c>
      <x:c r="N121" t="str"/>
      <x:c r="O121" t="str"/>
      <x:c r="P121" t="str"/>
    </x:row>
    <x:row r="122">
      <x:c r="A122" s="3" t="n">
        <x:v>46274.125</x:v>
      </x:c>
      <x:c r="B122" s="1" t="str">
        <x:v>SIM-INCA-121</x:v>
      </x:c>
      <x:c r="C122" s="1" t="str">
        <x:v>inCampus</x:v>
      </x:c>
      <x:c r="D122" s="1" t="str">
        <x:v>仮想心理演習</x:v>
      </x:c>
      <x:c r="E122" s="1" t="str">
        <x:v>仮想課題-121</x:v>
      </x:c>
      <x:c r="F122" s="3" t="n">
        <x:v>46281.62430555555</x:v>
      </x:c>
      <x:c r="G122" s="1" t="str">
        <x:v>期限検出</x:v>
      </x:c>
      <x:c r="H122" s="1" t="str">
        <x:v>新しい課題: 仮想課題-121</x:v>
      </x:c>
      <x:c r="I122" s="1" t="str">
        <x:v>架空担当B &lt;fixture-121@example.invalid&gt;</x:v>
      </x:c>
      <x:c r="J122" s="3" t="n">
        <x:v>46274.041666666664</x:v>
      </x:c>
      <x:c r="K122" s="5" t="str">
        <x:v>https://mail.example.invalid/thread/SIM-INCA-121</x:v>
      </x:c>
      <x:c r="L122" s="1" t="str">
        <x:v>履修者：SIM-000121
曜日・時限：火曜3限
授業名：仮想心理演習
教員名：架空担当B
更新内容：
・課題（仮想課題-121）が追加されました。（2026/09/10 08:00）
参照：https://portal.example.invalid/demo/SIM-INCA-121</x:v>
      </x:c>
      <x:c r="M122" s="1" t="str">
        <x:v>未確認</x:v>
      </x:c>
      <x:c r="N122" t="str"/>
      <x:c r="O122" t="str"/>
      <x:c r="P122" t="str"/>
    </x:row>
    <x:row r="123">
      <x:c r="A123" s="3" t="n">
        <x:v>46274.166666666664</x:v>
      </x:c>
      <x:c r="B123" s="1" t="str">
        <x:v>SIM-INCA-122</x:v>
      </x:c>
      <x:c r="C123" s="1" t="str">
        <x:v>inCampus</x:v>
      </x:c>
      <x:c r="D123" s="1" t="str">
        <x:v>サンプル情報設計</x:v>
      </x:c>
      <x:c r="E123" s="1" t="str">
        <x:v>仮想課題-122</x:v>
      </x:c>
      <x:c r="F123" s="3" t="n">
        <x:v>46282.62430555555</x:v>
      </x:c>
      <x:c r="G123" s="1" t="str">
        <x:v>期限検出</x:v>
      </x:c>
      <x:c r="H123" s="1" t="str">
        <x:v>新しい課題: 仮想課題-122</x:v>
      </x:c>
      <x:c r="I123" s="1" t="str">
        <x:v>架空担当C &lt;fixture-122@example.invalid&gt;</x:v>
      </x:c>
      <x:c r="J123" s="3" t="n">
        <x:v>46274.083333333336</x:v>
      </x:c>
      <x:c r="K123" s="5" t="str">
        <x:v>https://mail.example.invalid/thread/SIM-INCA-122</x:v>
      </x:c>
      <x:c r="L123" s="1" t="str">
        <x:v>履修者：SIM-000122
曜日・時限：金曜2限
授業名：サンプル情報設計
教員名：架空担当C
更新内容：
・課題（仮想課題-122）が追加されました。（2026/09/10 08:00）
参照：https://portal.example.invalid/demo/SIM-INCA-122</x:v>
      </x:c>
      <x:c r="M123" s="1" t="str">
        <x:v>未確認</x:v>
      </x:c>
      <x:c r="N123" t="str"/>
      <x:c r="O123" t="str"/>
      <x:c r="P123" t="str"/>
    </x:row>
    <x:row r="124">
      <x:c r="A124" s="3" t="n">
        <x:v>46274.208333333336</x:v>
      </x:c>
      <x:c r="B124" s="1" t="str">
        <x:v>SIM-INCA-123</x:v>
      </x:c>
      <x:c r="C124" s="1" t="str">
        <x:v>inCampus</x:v>
      </x:c>
      <x:c r="D124" s="1" t="str">
        <x:v>架空データ解析</x:v>
      </x:c>
      <x:c r="E124" s="1" t="str">
        <x:v>仮想課題-123</x:v>
      </x:c>
      <x:c r="F124" s="3" t="n">
        <x:v>46283.62430555555</x:v>
      </x:c>
      <x:c r="G124" s="1" t="str">
        <x:v>期限検出</x:v>
      </x:c>
      <x:c r="H124" s="1" t="str">
        <x:v>新しい課題: 仮想課題-123</x:v>
      </x:c>
      <x:c r="I124" s="1" t="str">
        <x:v>架空担当A &lt;fixture-123@example.invalid&gt;</x:v>
      </x:c>
      <x:c r="J124" s="3" t="n">
        <x:v>46274.125</x:v>
      </x:c>
      <x:c r="K124" s="5" t="str">
        <x:v>https://mail.example.invalid/thread/SIM-INCA-123</x:v>
      </x:c>
      <x:c r="L124" s="1" t="str">
        <x:v>履修者：SIM-000123
曜日・時限：月曜1限
授業名：架空データ解析
教員名：架空担当A
更新内容：
・課題（仮想課題-123）が追加されました。（2026/09/10 08:00）
参照：https://portal.example.invalid/demo/SIM-INCA-123</x:v>
      </x:c>
      <x:c r="M124" s="1" t="str">
        <x:v>未確認</x:v>
      </x:c>
      <x:c r="N124" t="str"/>
      <x:c r="O124" t="str"/>
      <x:c r="P124" t="str"/>
    </x:row>
    <x:row r="125">
      <x:c r="A125" s="3" t="n">
        <x:v>46274.25</x:v>
      </x:c>
      <x:c r="B125" s="1" t="str">
        <x:v>SIM-INCA-124</x:v>
      </x:c>
      <x:c r="C125" s="1" t="str">
        <x:v>inCampus</x:v>
      </x:c>
      <x:c r="D125" s="1" t="str">
        <x:v>仮想心理演習</x:v>
      </x:c>
      <x:c r="E125" s="1" t="str">
        <x:v>仮想課題-124</x:v>
      </x:c>
      <x:c r="F125" s="3" t="n">
        <x:v>46284.62430555555</x:v>
      </x:c>
      <x:c r="G125" s="1" t="str">
        <x:v>期限検出</x:v>
      </x:c>
      <x:c r="H125" s="1" t="str">
        <x:v>新しい課題: 仮想課題-124</x:v>
      </x:c>
      <x:c r="I125" s="1" t="str">
        <x:v>架空担当B &lt;fixture-124@example.invalid&gt;</x:v>
      </x:c>
      <x:c r="J125" s="3" t="n">
        <x:v>46274.166666666664</x:v>
      </x:c>
      <x:c r="K125" s="5" t="str">
        <x:v>https://mail.example.invalid/thread/SIM-INCA-124</x:v>
      </x:c>
      <x:c r="L125" s="1" t="str">
        <x:v>履修者：SIM-000124
曜日・時限：火曜3限
授業名：仮想心理演習
教員名：架空担当B
更新内容：
・課題（仮想課題-124）が追加されました。（2026/09/10 08:00）
参照：https://portal.example.invalid/demo/SIM-INCA-124</x:v>
      </x:c>
      <x:c r="M125" s="1" t="str">
        <x:v>未確認</x:v>
      </x:c>
      <x:c r="N125" t="str"/>
      <x:c r="O125" t="str"/>
      <x:c r="P125" t="str"/>
    </x:row>
    <x:row r="126">
      <x:c r="A126" s="3" t="n">
        <x:v>46274.291666666664</x:v>
      </x:c>
      <x:c r="B126" s="1" t="str">
        <x:v>SIM-INCA-125</x:v>
      </x:c>
      <x:c r="C126" s="1" t="str">
        <x:v>inCampus</x:v>
      </x:c>
      <x:c r="D126" s="1" t="str">
        <x:v>サンプル情報設計</x:v>
      </x:c>
      <x:c r="E126" s="1" t="str">
        <x:v>仮想課題-125</x:v>
      </x:c>
      <x:c r="F126" s="3" t="n">
        <x:v>46285.62430555555</x:v>
      </x:c>
      <x:c r="G126" s="1" t="str">
        <x:v>期限検出</x:v>
      </x:c>
      <x:c r="H126" s="1" t="str">
        <x:v>新しい課題: 仮想課題-125</x:v>
      </x:c>
      <x:c r="I126" s="1" t="str">
        <x:v>架空担当C &lt;fixture-125@example.invalid&gt;</x:v>
      </x:c>
      <x:c r="J126" s="3" t="n">
        <x:v>46274.208333333336</x:v>
      </x:c>
      <x:c r="K126" s="5" t="str">
        <x:v>https://mail.example.invalid/thread/SIM-INCA-125</x:v>
      </x:c>
      <x:c r="L126" s="1" t="str">
        <x:v>履修者：SIM-000125
曜日・時限：金曜2限
授業名：サンプル情報設計
教員名：架空担当C
更新内容：
・課題（仮想課題-125）が追加されました。（2026/09/10 08:00）
参照：https://portal.example.invalid/demo/SIM-INCA-125</x:v>
      </x:c>
      <x:c r="M126" s="1" t="str">
        <x:v>未確認</x:v>
      </x:c>
      <x:c r="N126" t="str"/>
      <x:c r="O126" t="str"/>
      <x:c r="P126" t="str"/>
    </x:row>
    <x:row r="127">
      <x:c r="A127" s="3" t="n">
        <x:v>46273.958333333336</x:v>
      </x:c>
      <x:c r="B127" s="1" t="str">
        <x:v>SIM-INCA-126</x:v>
      </x:c>
      <x:c r="C127" s="1" t="str">
        <x:v>inCampus</x:v>
      </x:c>
      <x:c r="D127" s="1" t="str">
        <x:v>架空データ解析</x:v>
      </x:c>
      <x:c r="E127" s="1" t="str">
        <x:v>仮想課題-126</x:v>
      </x:c>
      <x:c r="F127" s="3" t="n">
        <x:v>46268.62430555555</x:v>
      </x:c>
      <x:c r="G127" s="1" t="str">
        <x:v>期限検出</x:v>
      </x:c>
      <x:c r="H127" s="1" t="str">
        <x:v>新しい課題: 仮想課題-126</x:v>
      </x:c>
      <x:c r="I127" s="1" t="str">
        <x:v>架空担当A &lt;fixture-126@example.invalid&gt;</x:v>
      </x:c>
      <x:c r="J127" s="3" t="n">
        <x:v>46274.25</x:v>
      </x:c>
      <x:c r="K127" s="5" t="str">
        <x:v>https://mail.example.invalid/thread/SIM-INCA-126</x:v>
      </x:c>
      <x:c r="L127" s="1" t="str">
        <x:v>履修者：SIM-000126
曜日・時限：月曜1限
授業名：架空データ解析
教員名：架空担当A
更新内容：
・課題（仮想課題-126）が追加されました。（2026/09/10 08:00）
参照：https://portal.example.invalid/demo/SIM-INCA-126</x:v>
      </x:c>
      <x:c r="M127" s="1" t="str">
        <x:v>未確認</x:v>
      </x:c>
      <x:c r="N127" t="str"/>
      <x:c r="O127" t="str"/>
      <x:c r="P127" t="str"/>
    </x:row>
    <x:row r="128">
      <x:c r="A128" s="3" t="n">
        <x:v>46274</x:v>
      </x:c>
      <x:c r="B128" s="1" t="str">
        <x:v>SIM-INCA-127</x:v>
      </x:c>
      <x:c r="C128" s="1" t="str">
        <x:v>inCampus</x:v>
      </x:c>
      <x:c r="D128" s="1" t="str">
        <x:v>仮想心理演習</x:v>
      </x:c>
      <x:c r="E128" s="1" t="str">
        <x:v>仮想課題-127</x:v>
      </x:c>
      <x:c r="F128" s="3" t="n">
        <x:v>46269.62430555555</x:v>
      </x:c>
      <x:c r="G128" s="1" t="str">
        <x:v>期限検出</x:v>
      </x:c>
      <x:c r="H128" s="1" t="str">
        <x:v>新しい課題: 仮想課題-127</x:v>
      </x:c>
      <x:c r="I128" s="1" t="str">
        <x:v>架空担当B &lt;fixture-127@example.invalid&gt;</x:v>
      </x:c>
      <x:c r="J128" s="3" t="n">
        <x:v>46274.291666666664</x:v>
      </x:c>
      <x:c r="K128" s="5" t="str">
        <x:v>https://mail.example.invalid/thread/SIM-INCA-127</x:v>
      </x:c>
      <x:c r="L128" s="1" t="str">
        <x:v>履修者：SIM-000127
曜日・時限：火曜3限
授業名：仮想心理演習
教員名：架空担当B
更新内容：
・課題（仮想課題-127）が追加されました。（2026/09/10 08:00）
参照：https://portal.example.invalid/demo/SIM-INCA-127</x:v>
      </x:c>
      <x:c r="M128" s="1" t="str">
        <x:v>未確認</x:v>
      </x:c>
      <x:c r="N128" t="str"/>
      <x:c r="O128" t="str"/>
      <x:c r="P128" t="str"/>
    </x:row>
  </x:sheetData>
  <x:hyperlinks>
    <x:hyperlink xmlns:r="http://schemas.openxmlformats.org/officeDocument/2006/relationships" ref="K2" r:id="R24eecdf6819f4d1c"/>
    <x:hyperlink xmlns:r="http://schemas.openxmlformats.org/officeDocument/2006/relationships" ref="K3" r:id="R6211a4a938f24072"/>
    <x:hyperlink xmlns:r="http://schemas.openxmlformats.org/officeDocument/2006/relationships" ref="K4" r:id="Ra8f295fb02204543"/>
    <x:hyperlink xmlns:r="http://schemas.openxmlformats.org/officeDocument/2006/relationships" ref="K5" r:id="R772017c787e84004"/>
    <x:hyperlink xmlns:r="http://schemas.openxmlformats.org/officeDocument/2006/relationships" ref="K6" r:id="R058d01b3adae46e4"/>
    <x:hyperlink xmlns:r="http://schemas.openxmlformats.org/officeDocument/2006/relationships" ref="K7" r:id="R23d196ccdb14486a"/>
    <x:hyperlink xmlns:r="http://schemas.openxmlformats.org/officeDocument/2006/relationships" ref="K8" r:id="R11b76d2cd4964209"/>
    <x:hyperlink xmlns:r="http://schemas.openxmlformats.org/officeDocument/2006/relationships" ref="K9" r:id="R9c9ea822546f4158"/>
    <x:hyperlink xmlns:r="http://schemas.openxmlformats.org/officeDocument/2006/relationships" ref="K10" r:id="Rf3ad9630c8074e92"/>
    <x:hyperlink xmlns:r="http://schemas.openxmlformats.org/officeDocument/2006/relationships" ref="K11" r:id="R889acc40729c4417"/>
    <x:hyperlink xmlns:r="http://schemas.openxmlformats.org/officeDocument/2006/relationships" ref="K12" r:id="R891ef1b1639c4003"/>
    <x:hyperlink xmlns:r="http://schemas.openxmlformats.org/officeDocument/2006/relationships" ref="K13" r:id="R814fe0e68a184afa"/>
    <x:hyperlink xmlns:r="http://schemas.openxmlformats.org/officeDocument/2006/relationships" ref="K14" r:id="Rc09e2a2641cd4c0e"/>
    <x:hyperlink xmlns:r="http://schemas.openxmlformats.org/officeDocument/2006/relationships" ref="K15" r:id="R6ab499023f3d4322"/>
    <x:hyperlink xmlns:r="http://schemas.openxmlformats.org/officeDocument/2006/relationships" ref="K16" r:id="Rc57ddeb2eab74170"/>
    <x:hyperlink xmlns:r="http://schemas.openxmlformats.org/officeDocument/2006/relationships" ref="K17" r:id="R37a15ae2127a4376"/>
    <x:hyperlink xmlns:r="http://schemas.openxmlformats.org/officeDocument/2006/relationships" ref="K18" r:id="Re3fd9bc850844420"/>
    <x:hyperlink xmlns:r="http://schemas.openxmlformats.org/officeDocument/2006/relationships" ref="K19" r:id="Rbdd309249f564728"/>
    <x:hyperlink xmlns:r="http://schemas.openxmlformats.org/officeDocument/2006/relationships" ref="K20" r:id="Racf508f317e74992"/>
    <x:hyperlink xmlns:r="http://schemas.openxmlformats.org/officeDocument/2006/relationships" ref="K21" r:id="R5e681ea7a09644bb"/>
    <x:hyperlink xmlns:r="http://schemas.openxmlformats.org/officeDocument/2006/relationships" ref="K22" r:id="R3f84d9cdb24647fa"/>
    <x:hyperlink xmlns:r="http://schemas.openxmlformats.org/officeDocument/2006/relationships" ref="K23" r:id="R118076cf2b2e41d4"/>
    <x:hyperlink xmlns:r="http://schemas.openxmlformats.org/officeDocument/2006/relationships" ref="K24" r:id="R58a9941e070846cf"/>
    <x:hyperlink xmlns:r="http://schemas.openxmlformats.org/officeDocument/2006/relationships" ref="K25" r:id="Rcdea5b6d6ac3429c"/>
    <x:hyperlink xmlns:r="http://schemas.openxmlformats.org/officeDocument/2006/relationships" ref="K26" r:id="Rf9c5facb7cd848a2"/>
    <x:hyperlink xmlns:r="http://schemas.openxmlformats.org/officeDocument/2006/relationships" ref="K27" r:id="Rc4e4e0de2b744ceb"/>
    <x:hyperlink xmlns:r="http://schemas.openxmlformats.org/officeDocument/2006/relationships" ref="K28" r:id="R7504d700232d4396"/>
    <x:hyperlink xmlns:r="http://schemas.openxmlformats.org/officeDocument/2006/relationships" ref="K29" r:id="R043758ad73324864"/>
    <x:hyperlink xmlns:r="http://schemas.openxmlformats.org/officeDocument/2006/relationships" ref="K30" r:id="Rb7a172b2efac457e"/>
    <x:hyperlink xmlns:r="http://schemas.openxmlformats.org/officeDocument/2006/relationships" ref="K31" r:id="R5525b7ff0089417e"/>
    <x:hyperlink xmlns:r="http://schemas.openxmlformats.org/officeDocument/2006/relationships" ref="K32" r:id="Rfbd3a001754244f4"/>
    <x:hyperlink xmlns:r="http://schemas.openxmlformats.org/officeDocument/2006/relationships" ref="K33" r:id="R6020afc52c4d4a0e"/>
    <x:hyperlink xmlns:r="http://schemas.openxmlformats.org/officeDocument/2006/relationships" ref="K34" r:id="R58235b3b96c3457f"/>
    <x:hyperlink xmlns:r="http://schemas.openxmlformats.org/officeDocument/2006/relationships" ref="K35" r:id="Re8076a20c18d4d8b"/>
    <x:hyperlink xmlns:r="http://schemas.openxmlformats.org/officeDocument/2006/relationships" ref="K36" r:id="R61cb434e127d4277"/>
    <x:hyperlink xmlns:r="http://schemas.openxmlformats.org/officeDocument/2006/relationships" ref="K37" r:id="Re72385d9fd6b4951"/>
    <x:hyperlink xmlns:r="http://schemas.openxmlformats.org/officeDocument/2006/relationships" ref="K38" r:id="R413b16700df841be"/>
    <x:hyperlink xmlns:r="http://schemas.openxmlformats.org/officeDocument/2006/relationships" ref="K39" r:id="R6bcef196f2374466"/>
    <x:hyperlink xmlns:r="http://schemas.openxmlformats.org/officeDocument/2006/relationships" ref="K40" r:id="R9eadd11a0f224bb8"/>
    <x:hyperlink xmlns:r="http://schemas.openxmlformats.org/officeDocument/2006/relationships" ref="K41" r:id="R46e9ee8098a74e28"/>
    <x:hyperlink xmlns:r="http://schemas.openxmlformats.org/officeDocument/2006/relationships" ref="K42" r:id="Rf4a58e79dca04791"/>
    <x:hyperlink xmlns:r="http://schemas.openxmlformats.org/officeDocument/2006/relationships" ref="K43" r:id="Ref63c0fee4b144b9"/>
    <x:hyperlink xmlns:r="http://schemas.openxmlformats.org/officeDocument/2006/relationships" ref="K44" r:id="R6496985435974aa5"/>
    <x:hyperlink xmlns:r="http://schemas.openxmlformats.org/officeDocument/2006/relationships" ref="K45" r:id="R331cd5bb42f6411c"/>
    <x:hyperlink xmlns:r="http://schemas.openxmlformats.org/officeDocument/2006/relationships" ref="K46" r:id="Rd61e48028f8b4f2e"/>
    <x:hyperlink xmlns:r="http://schemas.openxmlformats.org/officeDocument/2006/relationships" ref="K47" r:id="R74d3b845813f4ecc"/>
    <x:hyperlink xmlns:r="http://schemas.openxmlformats.org/officeDocument/2006/relationships" ref="K48" r:id="Rb53f9e2637674097"/>
    <x:hyperlink xmlns:r="http://schemas.openxmlformats.org/officeDocument/2006/relationships" ref="K49" r:id="R96e27e588b3b43bf"/>
    <x:hyperlink xmlns:r="http://schemas.openxmlformats.org/officeDocument/2006/relationships" ref="K50" r:id="R111685748d1b4995"/>
    <x:hyperlink xmlns:r="http://schemas.openxmlformats.org/officeDocument/2006/relationships" ref="K51" r:id="R27702d15b50a42ac"/>
    <x:hyperlink xmlns:r="http://schemas.openxmlformats.org/officeDocument/2006/relationships" ref="K52" r:id="R99e8f7d84b6a4be8"/>
    <x:hyperlink xmlns:r="http://schemas.openxmlformats.org/officeDocument/2006/relationships" ref="K53" r:id="R0c9dbbea9e324352"/>
    <x:hyperlink xmlns:r="http://schemas.openxmlformats.org/officeDocument/2006/relationships" ref="K54" r:id="R104f3a6d018f49a4"/>
    <x:hyperlink xmlns:r="http://schemas.openxmlformats.org/officeDocument/2006/relationships" ref="K55" r:id="Rc0e37e4ae5294c97"/>
    <x:hyperlink xmlns:r="http://schemas.openxmlformats.org/officeDocument/2006/relationships" ref="K56" r:id="R109fc41e88e746a4"/>
    <x:hyperlink xmlns:r="http://schemas.openxmlformats.org/officeDocument/2006/relationships" ref="K57" r:id="R933d6328876d45f1"/>
    <x:hyperlink xmlns:r="http://schemas.openxmlformats.org/officeDocument/2006/relationships" ref="K58" r:id="R0f5e2cbc8af64738"/>
    <x:hyperlink xmlns:r="http://schemas.openxmlformats.org/officeDocument/2006/relationships" ref="K59" r:id="Rfd2cbfbd7b8d4d9b"/>
    <x:hyperlink xmlns:r="http://schemas.openxmlformats.org/officeDocument/2006/relationships" ref="K60" r:id="R4c750bf7c38f43cb"/>
    <x:hyperlink xmlns:r="http://schemas.openxmlformats.org/officeDocument/2006/relationships" ref="K61" r:id="R2dcefecb25cb4aa0"/>
    <x:hyperlink xmlns:r="http://schemas.openxmlformats.org/officeDocument/2006/relationships" ref="K62" r:id="Rb43d9539d8ce4366"/>
    <x:hyperlink xmlns:r="http://schemas.openxmlformats.org/officeDocument/2006/relationships" ref="K63" r:id="R73972da0957748c5"/>
    <x:hyperlink xmlns:r="http://schemas.openxmlformats.org/officeDocument/2006/relationships" ref="K64" r:id="Re8090721938a4226"/>
    <x:hyperlink xmlns:r="http://schemas.openxmlformats.org/officeDocument/2006/relationships" ref="K65" r:id="Rca9402b109ff45e8"/>
    <x:hyperlink xmlns:r="http://schemas.openxmlformats.org/officeDocument/2006/relationships" ref="K66" r:id="R1afa49961b8e4eb6"/>
    <x:hyperlink xmlns:r="http://schemas.openxmlformats.org/officeDocument/2006/relationships" ref="K67" r:id="R88b48672fd6b4be8"/>
    <x:hyperlink xmlns:r="http://schemas.openxmlformats.org/officeDocument/2006/relationships" ref="K68" r:id="Ra97f4ee3bb3f4568"/>
    <x:hyperlink xmlns:r="http://schemas.openxmlformats.org/officeDocument/2006/relationships" ref="K69" r:id="R9dcc1a4ef0ce4f09"/>
    <x:hyperlink xmlns:r="http://schemas.openxmlformats.org/officeDocument/2006/relationships" ref="K70" r:id="R374727d531e04347"/>
    <x:hyperlink xmlns:r="http://schemas.openxmlformats.org/officeDocument/2006/relationships" ref="K71" r:id="Rf52bf08dd1064cc5"/>
    <x:hyperlink xmlns:r="http://schemas.openxmlformats.org/officeDocument/2006/relationships" ref="K72" r:id="Race2ee8004e94337"/>
    <x:hyperlink xmlns:r="http://schemas.openxmlformats.org/officeDocument/2006/relationships" ref="K73" r:id="Re73ff629892b4745"/>
    <x:hyperlink xmlns:r="http://schemas.openxmlformats.org/officeDocument/2006/relationships" ref="K74" r:id="R9c8f3ec8daf34f12"/>
    <x:hyperlink xmlns:r="http://schemas.openxmlformats.org/officeDocument/2006/relationships" ref="K75" r:id="R69949339a697407e"/>
    <x:hyperlink xmlns:r="http://schemas.openxmlformats.org/officeDocument/2006/relationships" ref="K76" r:id="R0f04a8f24d42485c"/>
    <x:hyperlink xmlns:r="http://schemas.openxmlformats.org/officeDocument/2006/relationships" ref="K77" r:id="R4f1eecf364184553"/>
    <x:hyperlink xmlns:r="http://schemas.openxmlformats.org/officeDocument/2006/relationships" ref="K78" r:id="R026768e2c4104e76"/>
    <x:hyperlink xmlns:r="http://schemas.openxmlformats.org/officeDocument/2006/relationships" ref="K79" r:id="R9ac39c2d89f8458e"/>
    <x:hyperlink xmlns:r="http://schemas.openxmlformats.org/officeDocument/2006/relationships" ref="K80" r:id="R744fefb56c7647ed"/>
    <x:hyperlink xmlns:r="http://schemas.openxmlformats.org/officeDocument/2006/relationships" ref="K81" r:id="R0e2acaef23394d31"/>
    <x:hyperlink xmlns:r="http://schemas.openxmlformats.org/officeDocument/2006/relationships" ref="K82" r:id="R88d9af5bbb984a45"/>
    <x:hyperlink xmlns:r="http://schemas.openxmlformats.org/officeDocument/2006/relationships" ref="K83" r:id="Rfc0964535eab4909"/>
    <x:hyperlink xmlns:r="http://schemas.openxmlformats.org/officeDocument/2006/relationships" ref="K84" r:id="R5cedc7902bce49d7"/>
    <x:hyperlink xmlns:r="http://schemas.openxmlformats.org/officeDocument/2006/relationships" ref="K85" r:id="R37d8d96079624b79"/>
    <x:hyperlink xmlns:r="http://schemas.openxmlformats.org/officeDocument/2006/relationships" ref="K86" r:id="R0779612a49bc4128"/>
    <x:hyperlink xmlns:r="http://schemas.openxmlformats.org/officeDocument/2006/relationships" ref="K87" r:id="Rc9aa9cb96ad44547"/>
    <x:hyperlink xmlns:r="http://schemas.openxmlformats.org/officeDocument/2006/relationships" ref="K88" r:id="R6c8793a245fe4357"/>
    <x:hyperlink xmlns:r="http://schemas.openxmlformats.org/officeDocument/2006/relationships" ref="K89" r:id="R58b45ebe346c428d"/>
    <x:hyperlink xmlns:r="http://schemas.openxmlformats.org/officeDocument/2006/relationships" ref="K90" r:id="R71b8d2c9a4f84b16"/>
    <x:hyperlink xmlns:r="http://schemas.openxmlformats.org/officeDocument/2006/relationships" ref="K91" r:id="Ra57cad8c1ee34480"/>
    <x:hyperlink xmlns:r="http://schemas.openxmlformats.org/officeDocument/2006/relationships" ref="K92" r:id="R248df7d0eaec46e1"/>
    <x:hyperlink xmlns:r="http://schemas.openxmlformats.org/officeDocument/2006/relationships" ref="K93" r:id="R6a7adbf00f254b6d"/>
    <x:hyperlink xmlns:r="http://schemas.openxmlformats.org/officeDocument/2006/relationships" ref="K94" r:id="Rda4a10f223c041e9"/>
    <x:hyperlink xmlns:r="http://schemas.openxmlformats.org/officeDocument/2006/relationships" ref="K95" r:id="R7d1eeba96f0a4db7"/>
    <x:hyperlink xmlns:r="http://schemas.openxmlformats.org/officeDocument/2006/relationships" ref="K96" r:id="R8ea7896239c64ef5"/>
    <x:hyperlink xmlns:r="http://schemas.openxmlformats.org/officeDocument/2006/relationships" ref="K97" r:id="Rb6b0acca94c94a61"/>
    <x:hyperlink xmlns:r="http://schemas.openxmlformats.org/officeDocument/2006/relationships" ref="K98" r:id="R224ce62a5fbc44fe"/>
    <x:hyperlink xmlns:r="http://schemas.openxmlformats.org/officeDocument/2006/relationships" ref="K99" r:id="R331ae92d223642cc"/>
    <x:hyperlink xmlns:r="http://schemas.openxmlformats.org/officeDocument/2006/relationships" ref="K100" r:id="Rccad80ab7ec74586"/>
    <x:hyperlink xmlns:r="http://schemas.openxmlformats.org/officeDocument/2006/relationships" ref="K101" r:id="Rcde0e328b91e4439"/>
    <x:hyperlink xmlns:r="http://schemas.openxmlformats.org/officeDocument/2006/relationships" ref="K102" r:id="R40df66a6fcc94740"/>
    <x:hyperlink xmlns:r="http://schemas.openxmlformats.org/officeDocument/2006/relationships" ref="K103" r:id="Ra80b7d1de2ee428c"/>
    <x:hyperlink xmlns:r="http://schemas.openxmlformats.org/officeDocument/2006/relationships" ref="K104" r:id="Ra8ea9d549f4344b2"/>
    <x:hyperlink xmlns:r="http://schemas.openxmlformats.org/officeDocument/2006/relationships" ref="K105" r:id="Ra8200e5bc99545f5"/>
    <x:hyperlink xmlns:r="http://schemas.openxmlformats.org/officeDocument/2006/relationships" ref="K106" r:id="R7456980a84f3414e"/>
    <x:hyperlink xmlns:r="http://schemas.openxmlformats.org/officeDocument/2006/relationships" ref="K107" r:id="R4990c06d10794f99"/>
    <x:hyperlink xmlns:r="http://schemas.openxmlformats.org/officeDocument/2006/relationships" ref="K108" r:id="R550e521be30a4c44"/>
    <x:hyperlink xmlns:r="http://schemas.openxmlformats.org/officeDocument/2006/relationships" ref="K109" r:id="Rdbf7879181fb445c"/>
    <x:hyperlink xmlns:r="http://schemas.openxmlformats.org/officeDocument/2006/relationships" ref="K110" r:id="R4f2ab02a2f654440"/>
    <x:hyperlink xmlns:r="http://schemas.openxmlformats.org/officeDocument/2006/relationships" ref="K111" r:id="R8e6ebbacaf8449f5"/>
    <x:hyperlink xmlns:r="http://schemas.openxmlformats.org/officeDocument/2006/relationships" ref="K112" r:id="R9f230ec5200843bf"/>
    <x:hyperlink xmlns:r="http://schemas.openxmlformats.org/officeDocument/2006/relationships" ref="K113" r:id="Rdd4cacd6899b43d8"/>
    <x:hyperlink xmlns:r="http://schemas.openxmlformats.org/officeDocument/2006/relationships" ref="K114" r:id="R405d791922a5425e"/>
    <x:hyperlink xmlns:r="http://schemas.openxmlformats.org/officeDocument/2006/relationships" ref="K115" r:id="Rfda9e941ec3d4a68"/>
    <x:hyperlink xmlns:r="http://schemas.openxmlformats.org/officeDocument/2006/relationships" ref="K116" r:id="Rd909f917acb5405f"/>
    <x:hyperlink xmlns:r="http://schemas.openxmlformats.org/officeDocument/2006/relationships" ref="K117" r:id="Ra3d57e946c764068"/>
    <x:hyperlink xmlns:r="http://schemas.openxmlformats.org/officeDocument/2006/relationships" ref="K118" r:id="R40dc4a7165324521"/>
    <x:hyperlink xmlns:r="http://schemas.openxmlformats.org/officeDocument/2006/relationships" ref="K119" r:id="R6039b404ff254166"/>
    <x:hyperlink xmlns:r="http://schemas.openxmlformats.org/officeDocument/2006/relationships" ref="K120" r:id="R127e0f2b11734ea3"/>
    <x:hyperlink xmlns:r="http://schemas.openxmlformats.org/officeDocument/2006/relationships" ref="K121" r:id="Rd3c2c52e873242c8"/>
    <x:hyperlink xmlns:r="http://schemas.openxmlformats.org/officeDocument/2006/relationships" ref="K122" r:id="Rb820a78b82c84b34"/>
    <x:hyperlink xmlns:r="http://schemas.openxmlformats.org/officeDocument/2006/relationships" ref="K123" r:id="Rc1283cdf57fe4f90"/>
    <x:hyperlink xmlns:r="http://schemas.openxmlformats.org/officeDocument/2006/relationships" ref="K124" r:id="R068da8ed1b8a4e27"/>
    <x:hyperlink xmlns:r="http://schemas.openxmlformats.org/officeDocument/2006/relationships" ref="K125" r:id="R02e4f4e5b8514695"/>
    <x:hyperlink xmlns:r="http://schemas.openxmlformats.org/officeDocument/2006/relationships" ref="K126" r:id="Redb470f474f64119"/>
    <x:hyperlink xmlns:r="http://schemas.openxmlformats.org/officeDocument/2006/relationships" ref="K127" r:id="R5c5fecdde2104752"/>
    <x:hyperlink xmlns:r="http://schemas.openxmlformats.org/officeDocument/2006/relationships" ref="K128" r:id="Rd9f1d3e7b49c433a"/>
  </x:hyperlink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5" hidden="0" customWidth="1"/>
    <x:col min="3" max="3" width="74" hidden="0" customWidth="1"/>
  </x:cols>
  <x:sheetData>
    <x:row r="1" ht="30" customHeight="1">
      <x:c r="A1" s="14" t="str">
        <x:v>課題通知Hub テスト設定</x:v>
      </x:c>
      <x:c r="B1" s="14" t="str"/>
    </x:row>
    <x:row r="2">
      <x:c r="A2" s="15" t="str">
        <x:v>テスト開始日時</x:v>
      </x:c>
      <x:c r="B2" s="20" t="n">
        <x:f>NOW()</x:f>
        <x:v>46298</x:v>
      </x:c>
    </x:row>
    <x:row r="3">
      <x:c r="A3" s="15" t="str">
        <x:v>元データの目標位置</x:v>
      </x:c>
      <x:c r="B3" s="16" t="str">
        <x:v>今日まで</x:v>
      </x:c>
    </x:row>
    <x:row r="4">
      <x:c r="A4" s="15" t="str">
        <x:v>元の基準期限</x:v>
      </x:c>
      <x:c r="B4" s="21" t="n">
        <x:v>46275</x:v>
      </x:c>
    </x:row>
    <x:row r="5">
      <x:c r="A5" s="15" t="str">
        <x:v>目標期限（アプリ表示）</x:v>
      </x:c>
      <x:c r="B5" s="21" t="n">
        <x:f>IF(B3="期限切れ",INT(B2)-1+TIME(23,59,0),IF(B3="今日まで",INT(B2)+TIME(23,59,0),IF(B3="明日まで",INT(B2)+1+TIME(23,59,0),IF(B3="今週中",INT(B2)+7-WEEKDAY(INT(B2),2)+TIME(23,59,0),INT(B2)+14-WEEKDAY(INT(B2),2)+TIME(23,59,0)))))</x:f>
        <x:v>46298.99930555555</x:v>
      </x:c>
    </x:row>
    <x:row r="6">
      <x:c r="A6" s="15" t="str">
        <x:v>期限シフト日数</x:v>
      </x:c>
      <x:c r="B6" s="23" t="n">
        <x:f>INT(B5)-INT(B4)</x:f>
        <x:v>23</x:v>
      </x:c>
    </x:row>
    <x:row r="7">
      <x:c r="A7" s="16" t="str"/>
      <x:c r="B7" s="16" t="str"/>
    </x:row>
    <x:row r="8" ht="38" customHeight="1">
      <x:c r="A8" s="17" t="str">
        <x:v>使い方</x:v>
      </x:c>
      <x:c r="B8" s="18" t="str">
        <x:v>保存してからローカル検証画面で「テストケースExcelから開始」を押します。「テストメール」の異常系メールは実際のGAS取込コードに通します。</x:v>
      </x:c>
    </x:row>
    <x:row r="9" ht="38" customHeight="1">
      <x:c r="A9" s="17" t="str">
        <x:v>メール受信日時</x:v>
      </x:c>
      <x:c r="B9" s="18" t="str">
        <x:v>テスト実行時の現在日時に全メールを同期します。保存日時も実行時刻になります。</x:v>
      </x:c>
    </x:row>
    <x:row r="10" ht="38" customHeight="1">
      <x:c r="A10" s="17" t="str">
        <x:v>元データの期限</x:v>
      </x:c>
      <x:c r="B10" s="18" t="str">
        <x:v>B3で基準日を選ぶと、元Excelの保存データ期限をテスト当日に合わせます。行ごとの日付差は維持されるため、期限切れ・今日・明日・今週・来週以降を同時に確認できます。</x:v>
      </x:c>
    </x:row>
    <x:row r="11" ht="64" customHeight="1">
      <x:c r="A11" s="17" t="str">
        <x:v>画面の判定日時</x:v>
      </x:c>
      <x:c r="B11" s="18" t="str">
        <x:v>Webアプリの設定で仮想判定日時を選びます。テストケース適用ON/OFFとは別に保存されます。ON中は課題一覧ヘッダーの日時ボタンからも変更できます。メールの受信日時・本番メール同期時刻は変わりません。</x:v>
      </x:c>
    </x:row>
    <x:row r="12" ht="38" customHeight="1">
      <x:c r="A12" s="17" t="str">
        <x:v>0:00・日付だけ</x:v>
      </x:c>
      <x:c r="B12" s="18" t="str">
        <x:v>明示的な0:00は前日の23:59、日付だけはその日の23:59として分類します。</x:v>
      </x:c>
    </x:row>
    <x:row r="13" ht="38" customHeight="1">
      <x:c r="A13" s="13" t="str">
        <x:v>元データ</x:v>
      </x:c>
      <x:c r="B13" s="19" t="str">
        <x:v>実データを含まない架空の通知・課題ケースを使用しています。</x:v>
      </x:c>
    </x:row>
    <x:row r="14">
      <x:c r="A14" s="13" t="str"/>
      <x:c r="B14" s="19" t="str"/>
    </x:row>
    <x:row r="15" ht="30" customHeight="1">
      <x:c r="A15" s="13" t="str">
        <x:v>時刻付き0:00の確認例</x:v>
      </x:c>
      <x:c r="B15" s="22" t="n">
        <x:f>INT(B5)+1</x:f>
        <x:v>46299</x:v>
      </x:c>
    </x:row>
    <x:row r="16" ht="30" customHeight="1">
      <x:c r="A16" s="13" t="str">
        <x:v>保存値（時刻付き0:00）</x:v>
      </x:c>
      <x:c r="B16" s="22" t="n">
        <x:f>B15-1+TIME(23,59,0)</x:f>
        <x:v>46298.99930555555</x:v>
      </x:c>
    </x:row>
    <x:row r="17" ht="30" customHeight="1">
      <x:c r="A17" s="13" t="str">
        <x:v>アプリ表示</x:v>
      </x:c>
      <x:c r="B17" s="22"/>
    </x:row>
    <x:row r="18" ht="30" customHeight="1">
      <x:c r="A18" s="13" t="str">
        <x:v>画面の仮想判定日時</x:v>
      </x:c>
      <x:c r="B18" s="22" t="n">
        <x:v>46387.998611111114</x:v>
      </x:c>
    </x:row>
    <x:row r="20" ht="26" customHeight="1">
      <x:c r="A20" s="48" t="str">
        <x:v>テスト日時候補（日本時間）</x:v>
      </x:c>
      <x:c r="B20" s="48"/>
      <x:c r="C20" s="48"/>
    </x:row>
    <x:row r="21" ht="28" customHeight="1">
      <x:c r="A21" s="49" t="str">
        <x:v>選択肢</x:v>
      </x:c>
      <x:c r="B21" s="49" t="str">
        <x:v>仮想判定日時</x:v>
      </x:c>
      <x:c r="C21" s="49" t="str">
        <x:v>確認する主な境界</x:v>
      </x:c>
    </x:row>
    <x:row r="22" ht="40" customHeight="1">
      <x:c r="A22" s="50" t="str">
        <x:v>実時間に戻す</x:v>
      </x:c>
      <x:c r="B22" s="50"/>
      <x:c r="C22" s="50" t="str">
        <x:v>仮想日時を解除し、実際の日本時間で期限を判定</x:v>
      </x:c>
    </x:row>
    <x:row r="23" ht="40" customHeight="1">
      <x:c r="A23" s="50" t="str">
        <x:v>土曜日</x:v>
      </x:c>
      <x:c r="B23" s="51" t="n">
        <x:v>46382.375</x:v>
      </x:c>
      <x:c r="C23" s="50" t="str">
        <x:v>土曜閲覧。日曜期限は「明日」、翌週月曜は「来週以降」</x:v>
      </x:c>
    </x:row>
    <x:row r="24" ht="40" customHeight="1">
      <x:c r="A24" s="50" t="str">
        <x:v>日曜日</x:v>
      </x:c>
      <x:c r="B24" s="51" t="n">
        <x:v>46383.998611111114</x:v>
      </x:c>
      <x:c r="C24" s="50" t="str">
        <x:v>日曜から月曜への週境界と、翌日0:00直前</x:v>
      </x:c>
    </x:row>
    <x:row r="25" ht="40" customHeight="1">
      <x:c r="A25" s="50" t="str">
        <x:v>平日</x:v>
      </x:c>
      <x:c r="B25" s="51" t="n">
        <x:v>46385.4375</x:v>
      </x:c>
      <x:c r="C25" s="50" t="str">
        <x:v>平日の「今日・明日・今週中・来週以降」分類</x:v>
      </x:c>
    </x:row>
    <x:row r="26" ht="40" customHeight="1">
      <x:c r="A26" s="50" t="str">
        <x:v>年末</x:v>
      </x:c>
      <x:c r="B26" s="51" t="n">
        <x:v>46387.998611111114</x:v>
      </x:c>
      <x:c r="C26" s="50" t="str">
        <x:v>年越しと、翌年1/1 0:00期限の前日23:59補正</x:v>
      </x:c>
    </x:row>
    <x:row r="27" ht="40" customHeight="1">
      <x:c r="A27" s="50" t="str">
        <x:v>年始直後</x:v>
      </x:c>
      <x:c r="B27" s="51" t="n">
        <x:v>46388.00069444445</x:v>
      </x:c>
      <x:c r="C27" s="50" t="str">
        <x:v>年明け直後の期限切れ・当日期限</x:v>
      </x:c>
    </x:row>
    <x:row r="28" ht="40" customHeight="1">
      <x:c r="A28" s="50" t="str">
        <x:v>JST/UTC境界</x:v>
      </x:c>
      <x:c r="B28" s="51" t="n">
        <x:v>46388.00347222222</x:v>
      </x:c>
      <x:c r="C28" s="50" t="str">
        <x:v>JSTの年境界とUTC日付のずれ</x:v>
      </x:c>
    </x:row>
    <x:row r="29" ht="40" customHeight="1">
      <x:c r="A29" s="50" t="str">
        <x:v>平年2月末</x:v>
      </x:c>
      <x:c r="B29" s="51" t="n">
        <x:v>46446.375</x:v>
      </x:c>
      <x:c r="C29" s="50" t="str">
        <x:v>平年の2/28から3/1。存在しない2/29の検出</x:v>
      </x:c>
    </x:row>
    <x:row r="30" ht="40" customHeight="1">
      <x:c r="A30" s="50" t="str">
        <x:v>月末</x:v>
      </x:c>
      <x:c r="B30" s="51" t="n">
        <x:v>46507.375</x:v>
      </x:c>
      <x:c r="C30" s="50" t="str">
        <x:v>4/30から5/1、日曜、翌週月曜への分類</x:v>
      </x:c>
    </x:row>
    <x:row r="31" ht="40" customHeight="1">
      <x:c r="A31" s="50" t="str">
        <x:v>閏日前日</x:v>
      </x:c>
      <x:c r="B31" s="51" t="n">
        <x:v>46811.375</x:v>
      </x:c>
      <x:c r="C31" s="50" t="str">
        <x:v>閏年の2/29と3/1の分類</x:v>
      </x:c>
    </x:row>
    <x:row r="32" ht="40" customHeight="1">
      <x:c r="A32" s="50" t="str">
        <x:v>閏日</x:v>
      </x:c>
      <x:c r="B32" s="51" t="n">
        <x:v>46812.375</x:v>
      </x:c>
      <x:c r="C32" s="50" t="str">
        <x:v>2/29から3/1の分類</x:v>
      </x:c>
    </x:row>
  </x:sheetData>
  <x:dataValidations count="1">
    <x:dataValidation type="list" sqref="B3">
      <x:formula1>"期限切れ,今日まで,明日まで,今週中,来週以降"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0" hidden="0" customWidth="1"/>
    <x:col min="3" max="3" width="18" hidden="0" customWidth="1"/>
    <x:col min="4" max="4" width="50" hidden="0" customWidth="1"/>
    <x:col min="5" max="5" width="90" hidden="0" customWidth="1"/>
    <x:col min="6" max="6" width="58" hidden="0" customWidth="1"/>
    <x:col min="7" max="7" width="48" hidden="0" customWidth="1"/>
    <x:col min="8" max="8" width="18" hidden="0" customWidth="1"/>
  </x:cols>
  <x:sheetData>
    <x:row r="1">
      <x:c r="A1" s="26" t="str">
        <x:v>テストメールID</x:v>
      </x:c>
      <x:c r="B1" s="26" t="str">
        <x:v>通知元</x:v>
      </x:c>
      <x:c r="C1" s="26" t="str">
        <x:v>期待する期限区分</x:v>
      </x:c>
      <x:c r="D1" s="26" t="str">
        <x:v>メール件名</x:v>
      </x:c>
      <x:c r="E1" s="26" t="str">
        <x:v>メール本文テンプレート</x:v>
      </x:c>
      <x:c r="F1" s="26" t="str">
        <x:v>狙う誤動作</x:v>
      </x:c>
      <x:c r="G1" s="26" t="str">
        <x:v>期待結果</x:v>
      </x:c>
      <x:c r="H1" s="26" t="str">
        <x:v>仕様番号</x:v>
      </x:c>
    </x:row>
    <x:row r="2" ht="58" customHeight="1">
      <x:c r="A2" s="29" t="str">
        <x:v>TEST-EXPIRED</x:v>
      </x:c>
      <x:c r="B2" s="29" t="str">
        <x:v>Google Classroom</x:v>
      </x:c>
      <x:c r="C2" s="29" t="str">
        <x:v>期限切れ</x:v>
      </x:c>
      <x:c r="D2" s="29" t="str">
        <x:v>【仮想科目A】新しい課題: 期限切れ境界</x:v>
      </x:c>
      <x:c r="E2" s="29" t="str">
        <x:v>仮想科目A
架空担当A が新しい課題を投稿しました
期限：{{期限}} 23:59
https://courses.example.invalid/demo/EXPIRED</x:v>
      </x:c>
      <x:c r="F2" s="29" t="str">
        <x:v>期限切れ境界の誤分類</x:v>
      </x:c>
      <x:c r="G2" s="29" t="str">
        <x:v>未完了一覧には出ない</x:v>
      </x:c>
      <x:c r="H2" s="29" t="str">
        <x:v>4, README</x:v>
      </x:c>
    </x:row>
    <x:row r="3" ht="58" customHeight="1">
      <x:c r="A3" s="29" t="str">
        <x:v>TEST-TODAY</x:v>
      </x:c>
      <x:c r="B3" s="29" t="str">
        <x:v>Google Classroom</x:v>
      </x:c>
      <x:c r="C3" s="29" t="str">
        <x:v>今日まで</x:v>
      </x:c>
      <x:c r="D3" s="29" t="str">
        <x:v>【仮想科目A】新しい課題: 今日の境界</x:v>
      </x:c>
      <x:c r="E3" s="29" t="str">
        <x:v>仮想科目A
架空担当A が新しい課題を投稿しました
期限：{{期限}} 23:59
https://courses.example.invalid/demo/TODAY</x:v>
      </x:c>
      <x:c r="F3" s="29" t="str">
        <x:v>当日締切の消失</x:v>
      </x:c>
      <x:c r="G3" s="29" t="str">
        <x:v>今日までに表示</x:v>
      </x:c>
      <x:c r="H3" s="29" t="str">
        <x:v>6, 10</x:v>
      </x:c>
    </x:row>
    <x:row r="4" ht="58" customHeight="1">
      <x:c r="A4" s="29" t="str">
        <x:v>TEST-TOMORROW</x:v>
      </x:c>
      <x:c r="B4" s="29" t="str">
        <x:v>Google Classroom</x:v>
      </x:c>
      <x:c r="C4" s="29" t="str">
        <x:v>明日まで</x:v>
      </x:c>
      <x:c r="D4" s="29" t="str">
        <x:v>【仮想科目A】新しい課題: 明日の境界</x:v>
      </x:c>
      <x:c r="E4" s="29" t="str">
        <x:v>仮想科目A
架空担当A が新しい課題を投稿しました
期限：{{期限}} 23:59
https://courses.example.invalid/demo/TOMORROW</x:v>
      </x:c>
      <x:c r="F4" s="29" t="str">
        <x:v>翌日境界のずれ</x:v>
      </x:c>
      <x:c r="G4" s="29" t="str">
        <x:v>明日までに表示</x:v>
      </x:c>
      <x:c r="H4" s="29" t="str">
        <x:v>4</x:v>
      </x:c>
    </x:row>
    <x:row r="5" ht="58" customHeight="1">
      <x:c r="A5" s="29" t="str">
        <x:v>TEST-THIS-WEEK</x:v>
      </x:c>
      <x:c r="B5" s="29" t="str">
        <x:v>Google Classroom</x:v>
      </x:c>
      <x:c r="C5" s="29" t="str">
        <x:v>今週中</x:v>
      </x:c>
      <x:c r="D5" s="29" t="str">
        <x:v>【仮想科目A】新しい課題: 今週中の境界</x:v>
      </x:c>
      <x:c r="E5" s="29" t="str">
        <x:v>仮想科目A
架空担当A が新しい課題を投稿しました
期限：{{期限}} 23:59
https://courses.example.invalid/demo/THIS-WEEK</x:v>
      </x:c>
      <x:c r="F5" s="29" t="str">
        <x:v>週末境界のずれ</x:v>
      </x:c>
      <x:c r="G5" s="29" t="str">
        <x:v>今週中に表示</x:v>
      </x:c>
      <x:c r="H5" s="29" t="str">
        <x:v>4</x:v>
      </x:c>
    </x:row>
    <x:row r="6" ht="58" customHeight="1">
      <x:c r="A6" s="29" t="str">
        <x:v>TEST-NEXT-WEEK</x:v>
      </x:c>
      <x:c r="B6" s="29" t="str">
        <x:v>Google Classroom</x:v>
      </x:c>
      <x:c r="C6" s="29" t="str">
        <x:v>来週以降</x:v>
      </x:c>
      <x:c r="D6" s="29" t="str">
        <x:v>【仮想科目A】新しい課題: 来週の境界</x:v>
      </x:c>
      <x:c r="E6" s="29" t="str">
        <x:v>仮想科目A
架空担当A が新しい課題を投稿しました
期限：{{期限}} 23:59
https://courses.example.invalid/demo/NEXT-WEEK</x:v>
      </x:c>
      <x:c r="F6" s="29" t="str">
        <x:v>来週以降の誤分類</x:v>
      </x:c>
      <x:c r="G6" s="29" t="str">
        <x:v>来週以降に表示</x:v>
      </x:c>
      <x:c r="H6" s="29" t="str">
        <x:v>4</x:v>
      </x:c>
    </x:row>
    <x:row r="7" ht="70" customHeight="1">
      <x:c r="A7" s="29" t="str">
        <x:v>TEST-DATE-ONLY</x:v>
      </x:c>
      <x:c r="B7" s="29" t="str">
        <x:v>Google Classroom</x:v>
      </x:c>
      <x:c r="C7" s="29" t="str">
        <x:v>今日まで</x:v>
      </x:c>
      <x:c r="D7" s="29" t="str">
        <x:v>【仮想科目A】新しい課題: 時刻なし期限</x:v>
      </x:c>
      <x:c r="E7" s="29" t="str">
        <x:v>仮想科目A
架空担当A が新しい課題を投稿しました
提出期限：{{期限}}
投稿日：{{判定日}}
https://courses.example.invalid/demo/DATE-ONLY</x:v>
      </x:c>
      <x:c r="F7" s="29" t="str">
        <x:v>日付だけの期限が0:00扱いされる</x:v>
      </x:c>
      <x:c r="G7" s="29" t="str">
        <x:v>当日の23:59として今日までに表示</x:v>
      </x:c>
      <x:c r="H7" s="29" t="str">
        <x:v>4, 6</x:v>
      </x:c>
    </x:row>
    <x:row r="8" ht="58" customHeight="1">
      <x:c r="A8" s="29" t="str">
        <x:v>TEST-MIDNIGHT</x:v>
      </x:c>
      <x:c r="B8" s="29" t="str">
        <x:v>Google Classroom</x:v>
      </x:c>
      <x:c r="C8" s="29" t="str">
        <x:v>今日まで</x:v>
      </x:c>
      <x:c r="D8" s="29" t="str">
        <x:v>【仮想科目A】新しい課題: 0時締切</x:v>
      </x:c>
      <x:c r="E8" s="29" t="str">
        <x:v>仮想科目A
架空担当A が新しい課題を投稿しました
提出期限：{{翌日0時}}
https://courses.example.invalid/demo/MIDNIGHT</x:v>
      </x:c>
      <x:c r="F8" s="29" t="str">
        <x:v>0:00が同日の23:59になる</x:v>
      </x:c>
      <x:c r="G8" s="29" t="str">
        <x:v>前日の23:59として今日までに表示</x:v>
      </x:c>
      <x:c r="H8" s="29" t="str">
        <x:v>4</x:v>
      </x:c>
    </x:row>
    <x:row r="9" ht="70" customHeight="1">
      <x:c r="A9" s="29" t="str">
        <x:v>TEST-UNKNOWN</x:v>
      </x:c>
      <x:c r="B9" s="29" t="str">
        <x:v>Google Classroom</x:v>
      </x:c>
      <x:c r="C9" s="29" t="str">
        <x:v>期限なし／未検出</x:v>
      </x:c>
      <x:c r="D9" s="29" t="str">
        <x:v>【仮想科目A】新しい課題: 期限なし境界</x:v>
      </x:c>
      <x:c r="E9" s="29" t="str">
        <x:v>仮想科目A
架空担当A が新しい課題を投稿しました
投稿日：{{判定日}}
送信日時：{{受信日}}
https://courses.example.invalid/demo/{{判定日}}/UNKNOWN</x:v>
      </x:c>
      <x:c r="F9" s="29" t="str">
        <x:v>投稿・受信日時やURLの数字を期限に誤認する</x:v>
      </x:c>
      <x:c r="G9" s="29" t="str">
        <x:v>実在しない締切日を生成しない</x:v>
      </x:c>
      <x:c r="H9" s="29" t="str">
        <x:v>6, README</x:v>
      </x:c>
    </x:row>
    <x:row r="10" ht="58" customHeight="1">
      <x:c r="A10" s="29" t="str">
        <x:v>TEST-INVALID-DATE</x:v>
      </x:c>
      <x:c r="B10" s="29" t="str">
        <x:v>Google Classroom</x:v>
      </x:c>
      <x:c r="C10" s="29" t="str">
        <x:v>期限未検出</x:v>
      </x:c>
      <x:c r="D10" s="29" t="str">
        <x:v>【仮想科目A】新しい課題: 存在しない日付</x:v>
      </x:c>
      <x:c r="E10" s="29" t="str">
        <x:v>仮想科目A
架空担当A が新しい課題を投稿しました
期限：2026/02/31
https://courses.example.invalid/demo/INVALID-DATE</x:v>
      </x:c>
      <x:c r="F10" s="29" t="str">
        <x:v>存在しない日付を締切として保存する</x:v>
      </x:c>
      <x:c r="G10" s="29" t="str">
        <x:v>期限未検出として残る</x:v>
      </x:c>
      <x:c r="H10" s="29" t="str">
        <x:v>README</x:v>
      </x:c>
    </x:row>
    <x:row r="11" ht="58" customHeight="1">
      <x:c r="A11" s="29" t="str">
        <x:v>TEST-RETURNED</x:v>
      </x:c>
      <x:c r="B11" s="29" t="str">
        <x:v>Google Classroom</x:v>
      </x:c>
      <x:c r="C11" s="29" t="str">
        <x:v>対象外</x:v>
      </x:c>
      <x:c r="D11" s="29" t="str">
        <x:v>【仮想科目A】課題が返却されました</x:v>
      </x:c>
      <x:c r="E11" s="29" t="str">
        <x:v>仮想科目A
返却された課題
期限：{{期限}} 23:59
https://courses.example.invalid/demo/RETURNED</x:v>
      </x:c>
      <x:c r="F11" s="29" t="str">
        <x:v>返却通知を未完了課題に混ぜる</x:v>
      </x:c>
      <x:c r="G11" s="29" t="str">
        <x:v>課題一覧には出ない</x:v>
      </x:c>
      <x:c r="H11" s="29" t="str">
        <x:v>3</x:v>
      </x:c>
    </x:row>
    <x:row r="12" ht="58" customHeight="1">
      <x:c r="A12" s="29" t="str">
        <x:v>TEST-ANNOUNCEMENT</x:v>
      </x:c>
      <x:c r="B12" s="29" t="str">
        <x:v>Google Classroom</x:v>
      </x:c>
      <x:c r="C12" s="29" t="str">
        <x:v>対象外</x:v>
      </x:c>
      <x:c r="D12" s="29" t="str">
        <x:v>【仮想科目A】新しいお知らせ: 仮想連絡</x:v>
      </x:c>
      <x:c r="E12" s="29" t="str">
        <x:v>仮想科目A
架空担当A が新しいお知らせを投稿しました
仮想連絡
https://courses.example.invalid/demo/NOTICE</x:v>
      </x:c>
      <x:c r="F12" s="29" t="str">
        <x:v>お知らせを課題と誤認する</x:v>
      </x:c>
      <x:c r="G12" s="29" t="str">
        <x:v>課題一覧に出ず、お知らせ側で扱う</x:v>
      </x:c>
      <x:c r="H12" s="29" t="str">
        <x:v>3, README</x:v>
      </x:c>
    </x:row>
    <x:row r="13" ht="154" customHeight="1">
      <x:c r="A13" s="29" t="str">
        <x:v>TEST-INCA-MULTI</x:v>
      </x:c>
      <x:c r="B13" s="29" t="str">
        <x:v>inCampus</x:v>
      </x:c>
      <x:c r="C13" s="29" t="str">
        <x:v>期限未検出</x:v>
      </x:c>
      <x:c r="D13" s="29" t="str">
        <x:v>更新通知</x:v>
      </x:c>
      <x:c r="E13" s="29" t="str">
        <x:v>履修者：SIM-000001
曜日・時限：火曜5限
授業名：仮想情報演習
教員名：架空担当B
更新内容：
・課題（同一メール追加更新（A））が追加されました。（{{受信日}} 08:00）
・課題（同一メール追加更新（A））が更新されました。（{{受信日}} 08:00）
・課題（別課題（B））が追加されました。（{{受信日}} 08:01）
・お知らせ（休講・教室変更）を追加しました。（{{受信日}} 08:02）
=====
※不具合検出用の架空メールです。</x:v>
      </x:c>
      <x:c r="F13" s="29" t="str">
        <x:v>1通内の複数更新・入れ子括弧・同一課題の追加更新・別課題・お知らせ</x:v>
      </x:c>
      <x:c r="G13" s="29" t="str">
        <x:v>同じ課題の追加と更新は1件、別課題は別件。元メール本文は保持</x:v>
      </x:c>
      <x:c r="H13" s="29" t="str">
        <x:v>5, 7, 8</x:v>
      </x:c>
    </x:row>
    <x:row r="14" ht="112" customHeight="1">
      <x:c r="A14" s="29" t="str">
        <x:v>TEST-INCA-NO-DUE</x:v>
      </x:c>
      <x:c r="B14" s="29" t="str">
        <x:v>inCampus</x:v>
      </x:c>
      <x:c r="C14" s="29" t="str">
        <x:v>期限未検出</x:v>
      </x:c>
      <x:c r="D14" s="29" t="str">
        <x:v>更新通知</x:v>
      </x:c>
      <x:c r="E14" s="29" t="str">
        <x:v>履修者：SIM-000002
曜日・時限：月曜2限
授業名：仮想心理演習
教員名：架空担当C
更新内容：
・課題（タイトルに期限という語がある仮想課題）が追加されました。（{{受信日}} 11:27）
=====
※更新日時は締切ではありません。</x:v>
      </x:c>
      <x:c r="F14" s="29" t="str">
        <x:v>課題名の「期限」とメール更新日時を期限扱いする</x:v>
      </x:c>
      <x:c r="G14" s="29" t="str">
        <x:v>期限未検出を維持</x:v>
      </x:c>
      <x:c r="H14" s="29" t="str">
        <x:v>5, 6</x:v>
      </x:c>
    </x:row>
    <x:row r="15" ht="112" customHeight="1">
      <x:c r="A15" s="29" t="str">
        <x:v>TEST-INCA-SUBMIT-ASSIGN</x:v>
      </x:c>
      <x:c r="B15" s="29" t="str">
        <x:v>inCampus</x:v>
      </x:c>
      <x:c r="C15" s="29" t="str">
        <x:v>対象外</x:v>
      </x:c>
      <x:c r="D15" s="29" t="str">
        <x:v>更新通知</x:v>
      </x:c>
      <x:c r="E15" s="29" t="str">
        <x:v>履修者：SIM-000003
曜日・時限：火曜5限
授業名：仮想提出照合
教員名：架空担当B
更新内容：
・課題（同名照合課題）が追加されました。（{{受信日時10分前}}）
=====
※不具合検出用の架空メールです。</x:v>
      </x:c>
      <x:c r="F15" s="29" t="str">
        <x:v>同じ授業内の提出照合基準を作る</x:v>
      </x:c>
      <x:c r="G15" s="29" t="str">
        <x:v>同名の別授業へ状態を移さない</x:v>
      </x:c>
      <x:c r="H15" s="29" t="str">
        <x:v>2</x:v>
      </x:c>
    </x:row>
    <x:row r="16" ht="112" customHeight="1">
      <x:c r="A16" s="29" t="str">
        <x:v>TEST-INCA-SUBMIT-EVENT</x:v>
      </x:c>
      <x:c r="B16" s="29" t="str">
        <x:v>inCampus</x:v>
      </x:c>
      <x:c r="C16" s="29" t="str">
        <x:v>対象外</x:v>
      </x:c>
      <x:c r="D16" s="29" t="str">
        <x:v>更新通知</x:v>
      </x:c>
      <x:c r="E16" s="29" t="str">
        <x:v>履修者：SIM-000003
曜日・時限：火曜5限
授業名：仮想提出照合
教員名：架空担当B
更新内容：
・課題（同名照合課題）を提出しました。（{{受信日時5分前}}）
=====
※不具合検出用の架空メールです。</x:v>
      </x:c>
      <x:c r="F16" s="29" t="str">
        <x:v>提出記録の再取込・誤完了</x:v>
      </x:c>
      <x:c r="G16" s="29" t="str">
        <x:v>一致する課題だけ完了し、再処理で別課題を完了しない</x:v>
      </x:c>
      <x:c r="H16" s="29" t="str">
        <x:v>2</x:v>
      </x:c>
    </x:row>
    <x:row r="17" ht="58" customHeight="1">
      <x:c r="A17" s="29" t="str">
        <x:v>TEST-TODAY</x:v>
      </x:c>
      <x:c r="B17" s="29" t="str">
        <x:v>Google Classroom</x:v>
      </x:c>
      <x:c r="C17" s="29" t="str">
        <x:v>今日まで</x:v>
      </x:c>
      <x:c r="D17" s="29" t="str">
        <x:v>【仮想科目A】新しい課題: 今日の境界</x:v>
      </x:c>
      <x:c r="E17" s="29" t="str">
        <x:v>仮想科目A
架空担当A が新しい課題を投稿しました
期限：{{期限}} 23:59
https://courses.example.invalid/demo/TODAY-DUPLICATE</x:v>
      </x:c>
      <x:c r="F17" s="29" t="str">
        <x:v>同一Gmail IDの二重取得</x:v>
      </x:c>
      <x:c r="G17" s="29" t="str">
        <x:v>1通分だけ保存</x:v>
      </x:c>
      <x:c r="H17" s="29" t="str">
        <x:v>1, 5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30" hidden="0" customWidth="1"/>
    <x:col min="3" max="3" width="12" hidden="0" customWidth="1"/>
    <x:col min="4" max="4" width="18" hidden="0" customWidth="1"/>
    <x:col min="5" max="5" width="34" hidden="0" customWidth="1"/>
    <x:col min="6" max="6" width="20" hidden="0" customWidth="1"/>
    <x:col min="7" max="7" width="60" hidden="0" customWidth="1"/>
    <x:col min="8" max="8" width="54" hidden="0" customWidth="1"/>
  </x:cols>
  <x:sheetData>
    <x:row r="1">
      <x:c r="A1" s="26" t="str">
        <x:v>ケースID</x:v>
      </x:c>
      <x:c r="B1" s="26" t="str">
        <x:v>閲覧日時（JST）</x:v>
      </x:c>
      <x:c r="C1" s="26" t="str">
        <x:v>閲覧曜日</x:v>
      </x:c>
      <x:c r="D1" s="26" t="str">
        <x:v>締切日</x:v>
      </x:c>
      <x:c r="E1" s="26" t="str">
        <x:v>締切時刻</x:v>
      </x:c>
      <x:c r="F1" s="26" t="str">
        <x:v>期待する分類</x:v>
      </x:c>
      <x:c r="G1" s="26" t="str">
        <x:v>確認する境界・故障</x:v>
      </x:c>
      <x:c r="H1" s="26" t="str">
        <x:v>確認方法</x:v>
      </x:c>
    </x:row>
    <x:row r="2" ht="34" customHeight="1">
      <x:c r="A2" s="29" t="str">
        <x:v>WEEK-月-00</x:v>
      </x:c>
      <x:c r="B2" s="29" t="str">
        <x:v>2026-10-05 10:30:00.000</x:v>
      </x:c>
      <x:c r="C2" s="29" t="str">
        <x:v>月</x:v>
      </x:c>
      <x:c r="D2" s="29" t="str">
        <x:v>2026-10-05</x:v>
      </x:c>
      <x:c r="E2" s="29" t="str">
        <x:v>23:59</x:v>
      </x:c>
      <x:c r="F2" s="29" t="str">
        <x:v>今日まで</x:v>
      </x:c>
      <x:c r="G2" s="29" t="str">
        <x:v>月曜日閲覧／期限まで0日（日曜を今週の最終日として分類）</x:v>
      </x:c>
      <x:c r="H2" s="29" t="str">
        <x:v>audit/ui-tests.cjs の期限分類テーブルと同じ期待値</x:v>
      </x:c>
    </x:row>
    <x:row r="3" ht="34" customHeight="1">
      <x:c r="A3" s="29" t="str">
        <x:v>WEEK-月-01</x:v>
      </x:c>
      <x:c r="B3" s="29" t="str">
        <x:v>2026-10-05 10:30:00.000</x:v>
      </x:c>
      <x:c r="C3" s="29" t="str">
        <x:v>月</x:v>
      </x:c>
      <x:c r="D3" s="29" t="str">
        <x:v>2026-10-06</x:v>
      </x:c>
      <x:c r="E3" s="29" t="str">
        <x:v>23:59</x:v>
      </x:c>
      <x:c r="F3" s="29" t="str">
        <x:v>明日まで</x:v>
      </x:c>
      <x:c r="G3" s="29" t="str">
        <x:v>月曜日閲覧／期限まで1日（日曜を今週の最終日として分類）</x:v>
      </x:c>
      <x:c r="H3" s="29" t="str">
        <x:v>audit/ui-tests.cjs の期限分類テーブルと同じ期待値</x:v>
      </x:c>
    </x:row>
    <x:row r="4" ht="34" customHeight="1">
      <x:c r="A4" s="29" t="str">
        <x:v>WEEK-月-02</x:v>
      </x:c>
      <x:c r="B4" s="29" t="str">
        <x:v>2026-10-05 10:30:00.000</x:v>
      </x:c>
      <x:c r="C4" s="29" t="str">
        <x:v>月</x:v>
      </x:c>
      <x:c r="D4" s="29" t="str">
        <x:v>2026-10-07</x:v>
      </x:c>
      <x:c r="E4" s="29" t="str">
        <x:v>23:59</x:v>
      </x:c>
      <x:c r="F4" s="29" t="str">
        <x:v>今週中</x:v>
      </x:c>
      <x:c r="G4" s="29" t="str">
        <x:v>月曜日閲覧／期限まで2日（日曜を今週の最終日として分類）</x:v>
      </x:c>
      <x:c r="H4" s="29" t="str">
        <x:v>audit/ui-tests.cjs の期限分類テーブルと同じ期待値</x:v>
      </x:c>
    </x:row>
    <x:row r="5" ht="34" customHeight="1">
      <x:c r="A5" s="29" t="str">
        <x:v>WEEK-月-03</x:v>
      </x:c>
      <x:c r="B5" s="29" t="str">
        <x:v>2026-10-05 10:30:00.000</x:v>
      </x:c>
      <x:c r="C5" s="29" t="str">
        <x:v>月</x:v>
      </x:c>
      <x:c r="D5" s="29" t="str">
        <x:v>2026-10-08</x:v>
      </x:c>
      <x:c r="E5" s="29" t="str">
        <x:v>23:59</x:v>
      </x:c>
      <x:c r="F5" s="29" t="str">
        <x:v>今週中</x:v>
      </x:c>
      <x:c r="G5" s="29" t="str">
        <x:v>月曜日閲覧／期限まで3日（日曜を今週の最終日として分類）</x:v>
      </x:c>
      <x:c r="H5" s="29" t="str">
        <x:v>audit/ui-tests.cjs の期限分類テーブルと同じ期待値</x:v>
      </x:c>
    </x:row>
    <x:row r="6" ht="34" customHeight="1">
      <x:c r="A6" s="29" t="str">
        <x:v>WEEK-月-04</x:v>
      </x:c>
      <x:c r="B6" s="29" t="str">
        <x:v>2026-10-05 10:30:00.000</x:v>
      </x:c>
      <x:c r="C6" s="29" t="str">
        <x:v>月</x:v>
      </x:c>
      <x:c r="D6" s="29" t="str">
        <x:v>2026-10-09</x:v>
      </x:c>
      <x:c r="E6" s="29" t="str">
        <x:v>23:59</x:v>
      </x:c>
      <x:c r="F6" s="29" t="str">
        <x:v>今週中</x:v>
      </x:c>
      <x:c r="G6" s="29" t="str">
        <x:v>月曜日閲覧／期限まで4日（日曜を今週の最終日として分類）</x:v>
      </x:c>
      <x:c r="H6" s="29" t="str">
        <x:v>audit/ui-tests.cjs の期限分類テーブルと同じ期待値</x:v>
      </x:c>
    </x:row>
    <x:row r="7" ht="34" customHeight="1">
      <x:c r="A7" s="29" t="str">
        <x:v>WEEK-月-05</x:v>
      </x:c>
      <x:c r="B7" s="29" t="str">
        <x:v>2026-10-05 10:30:00.000</x:v>
      </x:c>
      <x:c r="C7" s="29" t="str">
        <x:v>月</x:v>
      </x:c>
      <x:c r="D7" s="29" t="str">
        <x:v>2026-10-10</x:v>
      </x:c>
      <x:c r="E7" s="29" t="str">
        <x:v>23:59</x:v>
      </x:c>
      <x:c r="F7" s="29" t="str">
        <x:v>今週中</x:v>
      </x:c>
      <x:c r="G7" s="29" t="str">
        <x:v>月曜日閲覧／期限まで5日（日曜を今週の最終日として分類）</x:v>
      </x:c>
      <x:c r="H7" s="29" t="str">
        <x:v>audit/ui-tests.cjs の期限分類テーブルと同じ期待値</x:v>
      </x:c>
    </x:row>
    <x:row r="8" ht="34" customHeight="1">
      <x:c r="A8" s="29" t="str">
        <x:v>WEEK-月-06</x:v>
      </x:c>
      <x:c r="B8" s="29" t="str">
        <x:v>2026-10-05 10:30:00.000</x:v>
      </x:c>
      <x:c r="C8" s="29" t="str">
        <x:v>月</x:v>
      </x:c>
      <x:c r="D8" s="29" t="str">
        <x:v>2026-10-11</x:v>
      </x:c>
      <x:c r="E8" s="29" t="str">
        <x:v>23:59</x:v>
      </x:c>
      <x:c r="F8" s="29" t="str">
        <x:v>今週中</x:v>
      </x:c>
      <x:c r="G8" s="29" t="str">
        <x:v>月曜日閲覧／期限まで6日（日曜を今週の最終日として分類）</x:v>
      </x:c>
      <x:c r="H8" s="29" t="str">
        <x:v>audit/ui-tests.cjs の期限分類テーブルと同じ期待値</x:v>
      </x:c>
    </x:row>
    <x:row r="9" ht="34" customHeight="1">
      <x:c r="A9" s="29" t="str">
        <x:v>WEEK-月-07</x:v>
      </x:c>
      <x:c r="B9" s="29" t="str">
        <x:v>2026-10-05 10:30:00.000</x:v>
      </x:c>
      <x:c r="C9" s="29" t="str">
        <x:v>月</x:v>
      </x:c>
      <x:c r="D9" s="29" t="str">
        <x:v>2026-10-12</x:v>
      </x:c>
      <x:c r="E9" s="29" t="str">
        <x:v>23:59</x:v>
      </x:c>
      <x:c r="F9" s="29" t="str">
        <x:v>来週以降</x:v>
      </x:c>
      <x:c r="G9" s="29" t="str">
        <x:v>月曜日閲覧／期限まで7日（日曜を今週の最終日として分類）</x:v>
      </x:c>
      <x:c r="H9" s="29" t="str">
        <x:v>audit/ui-tests.cjs の期限分類テーブルと同じ期待値</x:v>
      </x:c>
    </x:row>
    <x:row r="10" ht="34" customHeight="1">
      <x:c r="A10" s="29" t="str">
        <x:v>WEEK-月-08</x:v>
      </x:c>
      <x:c r="B10" s="29" t="str">
        <x:v>2026-10-05 10:30:00.000</x:v>
      </x:c>
      <x:c r="C10" s="29" t="str">
        <x:v>月</x:v>
      </x:c>
      <x:c r="D10" s="29" t="str">
        <x:v>2026-10-13</x:v>
      </x:c>
      <x:c r="E10" s="29" t="str">
        <x:v>23:59</x:v>
      </x:c>
      <x:c r="F10" s="29" t="str">
        <x:v>来週以降</x:v>
      </x:c>
      <x:c r="G10" s="29" t="str">
        <x:v>月曜日閲覧／期限まで8日（日曜を今週の最終日として分類）</x:v>
      </x:c>
      <x:c r="H10" s="29" t="str">
        <x:v>audit/ui-tests.cjs の期限分類テーブルと同じ期待値</x:v>
      </x:c>
    </x:row>
    <x:row r="11" ht="34" customHeight="1">
      <x:c r="A11" s="29" t="str">
        <x:v>WEEK-火-00</x:v>
      </x:c>
      <x:c r="B11" s="29" t="str">
        <x:v>2026-10-06 10:30:00.000</x:v>
      </x:c>
      <x:c r="C11" s="29" t="str">
        <x:v>火</x:v>
      </x:c>
      <x:c r="D11" s="29" t="str">
        <x:v>2026-10-06</x:v>
      </x:c>
      <x:c r="E11" s="29" t="str">
        <x:v>23:59</x:v>
      </x:c>
      <x:c r="F11" s="29" t="str">
        <x:v>今日まで</x:v>
      </x:c>
      <x:c r="G11" s="29" t="str">
        <x:v>火曜日閲覧／期限まで0日（日曜を今週の最終日として分類）</x:v>
      </x:c>
      <x:c r="H11" s="29" t="str">
        <x:v>audit/ui-tests.cjs の期限分類テーブルと同じ期待値</x:v>
      </x:c>
    </x:row>
    <x:row r="12" ht="34" customHeight="1">
      <x:c r="A12" s="29" t="str">
        <x:v>WEEK-火-01</x:v>
      </x:c>
      <x:c r="B12" s="29" t="str">
        <x:v>2026-10-06 10:30:00.000</x:v>
      </x:c>
      <x:c r="C12" s="29" t="str">
        <x:v>火</x:v>
      </x:c>
      <x:c r="D12" s="29" t="str">
        <x:v>2026-10-07</x:v>
      </x:c>
      <x:c r="E12" s="29" t="str">
        <x:v>23:59</x:v>
      </x:c>
      <x:c r="F12" s="29" t="str">
        <x:v>明日まで</x:v>
      </x:c>
      <x:c r="G12" s="29" t="str">
        <x:v>火曜日閲覧／期限まで1日（日曜を今週の最終日として分類）</x:v>
      </x:c>
      <x:c r="H12" s="29" t="str">
        <x:v>audit/ui-tests.cjs の期限分類テーブルと同じ期待値</x:v>
      </x:c>
    </x:row>
    <x:row r="13" ht="34" customHeight="1">
      <x:c r="A13" s="29" t="str">
        <x:v>WEEK-火-02</x:v>
      </x:c>
      <x:c r="B13" s="29" t="str">
        <x:v>2026-10-06 10:30:00.000</x:v>
      </x:c>
      <x:c r="C13" s="29" t="str">
        <x:v>火</x:v>
      </x:c>
      <x:c r="D13" s="29" t="str">
        <x:v>2026-10-08</x:v>
      </x:c>
      <x:c r="E13" s="29" t="str">
        <x:v>23:59</x:v>
      </x:c>
      <x:c r="F13" s="29" t="str">
        <x:v>今週中</x:v>
      </x:c>
      <x:c r="G13" s="29" t="str">
        <x:v>火曜日閲覧／期限まで2日（日曜を今週の最終日として分類）</x:v>
      </x:c>
      <x:c r="H13" s="29" t="str">
        <x:v>audit/ui-tests.cjs の期限分類テーブルと同じ期待値</x:v>
      </x:c>
    </x:row>
    <x:row r="14" ht="34" customHeight="1">
      <x:c r="A14" s="29" t="str">
        <x:v>WEEK-火-03</x:v>
      </x:c>
      <x:c r="B14" s="29" t="str">
        <x:v>2026-10-06 10:30:00.000</x:v>
      </x:c>
      <x:c r="C14" s="29" t="str">
        <x:v>火</x:v>
      </x:c>
      <x:c r="D14" s="29" t="str">
        <x:v>2026-10-09</x:v>
      </x:c>
      <x:c r="E14" s="29" t="str">
        <x:v>23:59</x:v>
      </x:c>
      <x:c r="F14" s="29" t="str">
        <x:v>今週中</x:v>
      </x:c>
      <x:c r="G14" s="29" t="str">
        <x:v>火曜日閲覧／期限まで3日（日曜を今週の最終日として分類）</x:v>
      </x:c>
      <x:c r="H14" s="29" t="str">
        <x:v>audit/ui-tests.cjs の期限分類テーブルと同じ期待値</x:v>
      </x:c>
    </x:row>
    <x:row r="15" ht="34" customHeight="1">
      <x:c r="A15" s="29" t="str">
        <x:v>WEEK-火-04</x:v>
      </x:c>
      <x:c r="B15" s="29" t="str">
        <x:v>2026-10-06 10:30:00.000</x:v>
      </x:c>
      <x:c r="C15" s="29" t="str">
        <x:v>火</x:v>
      </x:c>
      <x:c r="D15" s="29" t="str">
        <x:v>2026-10-10</x:v>
      </x:c>
      <x:c r="E15" s="29" t="str">
        <x:v>23:59</x:v>
      </x:c>
      <x:c r="F15" s="29" t="str">
        <x:v>今週中</x:v>
      </x:c>
      <x:c r="G15" s="29" t="str">
        <x:v>火曜日閲覧／期限まで4日（日曜を今週の最終日として分類）</x:v>
      </x:c>
      <x:c r="H15" s="29" t="str">
        <x:v>audit/ui-tests.cjs の期限分類テーブルと同じ期待値</x:v>
      </x:c>
    </x:row>
    <x:row r="16" ht="34" customHeight="1">
      <x:c r="A16" s="29" t="str">
        <x:v>WEEK-火-05</x:v>
      </x:c>
      <x:c r="B16" s="29" t="str">
        <x:v>2026-10-06 10:30:00.000</x:v>
      </x:c>
      <x:c r="C16" s="29" t="str">
        <x:v>火</x:v>
      </x:c>
      <x:c r="D16" s="29" t="str">
        <x:v>2026-10-11</x:v>
      </x:c>
      <x:c r="E16" s="29" t="str">
        <x:v>23:59</x:v>
      </x:c>
      <x:c r="F16" s="29" t="str">
        <x:v>今週中</x:v>
      </x:c>
      <x:c r="G16" s="29" t="str">
        <x:v>火曜日閲覧／期限まで5日（日曜を今週の最終日として分類）</x:v>
      </x:c>
      <x:c r="H16" s="29" t="str">
        <x:v>audit/ui-tests.cjs の期限分類テーブルと同じ期待値</x:v>
      </x:c>
    </x:row>
    <x:row r="17" ht="34" customHeight="1">
      <x:c r="A17" s="29" t="str">
        <x:v>WEEK-火-06</x:v>
      </x:c>
      <x:c r="B17" s="29" t="str">
        <x:v>2026-10-06 10:30:00.000</x:v>
      </x:c>
      <x:c r="C17" s="29" t="str">
        <x:v>火</x:v>
      </x:c>
      <x:c r="D17" s="29" t="str">
        <x:v>2026-10-12</x:v>
      </x:c>
      <x:c r="E17" s="29" t="str">
        <x:v>23:59</x:v>
      </x:c>
      <x:c r="F17" s="29" t="str">
        <x:v>来週以降</x:v>
      </x:c>
      <x:c r="G17" s="29" t="str">
        <x:v>火曜日閲覧／期限まで6日（日曜を今週の最終日として分類）</x:v>
      </x:c>
      <x:c r="H17" s="29" t="str">
        <x:v>audit/ui-tests.cjs の期限分類テーブルと同じ期待値</x:v>
      </x:c>
    </x:row>
    <x:row r="18" ht="34" customHeight="1">
      <x:c r="A18" s="29" t="str">
        <x:v>WEEK-火-07</x:v>
      </x:c>
      <x:c r="B18" s="29" t="str">
        <x:v>2026-10-06 10:30:00.000</x:v>
      </x:c>
      <x:c r="C18" s="29" t="str">
        <x:v>火</x:v>
      </x:c>
      <x:c r="D18" s="29" t="str">
        <x:v>2026-10-13</x:v>
      </x:c>
      <x:c r="E18" s="29" t="str">
        <x:v>23:59</x:v>
      </x:c>
      <x:c r="F18" s="29" t="str">
        <x:v>来週以降</x:v>
      </x:c>
      <x:c r="G18" s="29" t="str">
        <x:v>火曜日閲覧／期限まで7日（日曜を今週の最終日として分類）</x:v>
      </x:c>
      <x:c r="H18" s="29" t="str">
        <x:v>audit/ui-tests.cjs の期限分類テーブルと同じ期待値</x:v>
      </x:c>
    </x:row>
    <x:row r="19" ht="34" customHeight="1">
      <x:c r="A19" s="29" t="str">
        <x:v>WEEK-火-08</x:v>
      </x:c>
      <x:c r="B19" s="29" t="str">
        <x:v>2026-10-06 10:30:00.000</x:v>
      </x:c>
      <x:c r="C19" s="29" t="str">
        <x:v>火</x:v>
      </x:c>
      <x:c r="D19" s="29" t="str">
        <x:v>2026-10-14</x:v>
      </x:c>
      <x:c r="E19" s="29" t="str">
        <x:v>23:59</x:v>
      </x:c>
      <x:c r="F19" s="29" t="str">
        <x:v>来週以降</x:v>
      </x:c>
      <x:c r="G19" s="29" t="str">
        <x:v>火曜日閲覧／期限まで8日（日曜を今週の最終日として分類）</x:v>
      </x:c>
      <x:c r="H19" s="29" t="str">
        <x:v>audit/ui-tests.cjs の期限分類テーブルと同じ期待値</x:v>
      </x:c>
    </x:row>
    <x:row r="20" ht="34" customHeight="1">
      <x:c r="A20" s="29" t="str">
        <x:v>WEEK-水-00</x:v>
      </x:c>
      <x:c r="B20" s="29" t="str">
        <x:v>2026-10-07 10:30:00.000</x:v>
      </x:c>
      <x:c r="C20" s="29" t="str">
        <x:v>水</x:v>
      </x:c>
      <x:c r="D20" s="29" t="str">
        <x:v>2026-10-07</x:v>
      </x:c>
      <x:c r="E20" s="29" t="str">
        <x:v>23:59</x:v>
      </x:c>
      <x:c r="F20" s="29" t="str">
        <x:v>今日まで</x:v>
      </x:c>
      <x:c r="G20" s="29" t="str">
        <x:v>水曜日閲覧／期限まで0日（日曜を今週の最終日として分類）</x:v>
      </x:c>
      <x:c r="H20" s="29" t="str">
        <x:v>audit/ui-tests.cjs の期限分類テーブルと同じ期待値</x:v>
      </x:c>
    </x:row>
    <x:row r="21" ht="34" customHeight="1">
      <x:c r="A21" s="29" t="str">
        <x:v>WEEK-水-01</x:v>
      </x:c>
      <x:c r="B21" s="29" t="str">
        <x:v>2026-10-07 10:30:00.000</x:v>
      </x:c>
      <x:c r="C21" s="29" t="str">
        <x:v>水</x:v>
      </x:c>
      <x:c r="D21" s="29" t="str">
        <x:v>2026-10-08</x:v>
      </x:c>
      <x:c r="E21" s="29" t="str">
        <x:v>23:59</x:v>
      </x:c>
      <x:c r="F21" s="29" t="str">
        <x:v>明日まで</x:v>
      </x:c>
      <x:c r="G21" s="29" t="str">
        <x:v>水曜日閲覧／期限まで1日（日曜を今週の最終日として分類）</x:v>
      </x:c>
      <x:c r="H21" s="29" t="str">
        <x:v>audit/ui-tests.cjs の期限分類テーブルと同じ期待値</x:v>
      </x:c>
    </x:row>
    <x:row r="22" ht="34" customHeight="1">
      <x:c r="A22" s="29" t="str">
        <x:v>WEEK-水-02</x:v>
      </x:c>
      <x:c r="B22" s="29" t="str">
        <x:v>2026-10-07 10:30:00.000</x:v>
      </x:c>
      <x:c r="C22" s="29" t="str">
        <x:v>水</x:v>
      </x:c>
      <x:c r="D22" s="29" t="str">
        <x:v>2026-10-09</x:v>
      </x:c>
      <x:c r="E22" s="29" t="str">
        <x:v>23:59</x:v>
      </x:c>
      <x:c r="F22" s="29" t="str">
        <x:v>今週中</x:v>
      </x:c>
      <x:c r="G22" s="29" t="str">
        <x:v>水曜日閲覧／期限まで2日（日曜を今週の最終日として分類）</x:v>
      </x:c>
      <x:c r="H22" s="29" t="str">
        <x:v>audit/ui-tests.cjs の期限分類テーブルと同じ期待値</x:v>
      </x:c>
    </x:row>
    <x:row r="23" ht="34" customHeight="1">
      <x:c r="A23" s="29" t="str">
        <x:v>WEEK-水-03</x:v>
      </x:c>
      <x:c r="B23" s="29" t="str">
        <x:v>2026-10-07 10:30:00.000</x:v>
      </x:c>
      <x:c r="C23" s="29" t="str">
        <x:v>水</x:v>
      </x:c>
      <x:c r="D23" s="29" t="str">
        <x:v>2026-10-10</x:v>
      </x:c>
      <x:c r="E23" s="29" t="str">
        <x:v>23:59</x:v>
      </x:c>
      <x:c r="F23" s="29" t="str">
        <x:v>今週中</x:v>
      </x:c>
      <x:c r="G23" s="29" t="str">
        <x:v>水曜日閲覧／期限まで3日（日曜を今週の最終日として分類）</x:v>
      </x:c>
      <x:c r="H23" s="29" t="str">
        <x:v>audit/ui-tests.cjs の期限分類テーブルと同じ期待値</x:v>
      </x:c>
    </x:row>
    <x:row r="24" ht="34" customHeight="1">
      <x:c r="A24" s="29" t="str">
        <x:v>WEEK-水-04</x:v>
      </x:c>
      <x:c r="B24" s="29" t="str">
        <x:v>2026-10-07 10:30:00.000</x:v>
      </x:c>
      <x:c r="C24" s="29" t="str">
        <x:v>水</x:v>
      </x:c>
      <x:c r="D24" s="29" t="str">
        <x:v>2026-10-11</x:v>
      </x:c>
      <x:c r="E24" s="29" t="str">
        <x:v>23:59</x:v>
      </x:c>
      <x:c r="F24" s="29" t="str">
        <x:v>今週中</x:v>
      </x:c>
      <x:c r="G24" s="29" t="str">
        <x:v>水曜日閲覧／期限まで4日（日曜を今週の最終日として分類）</x:v>
      </x:c>
      <x:c r="H24" s="29" t="str">
        <x:v>audit/ui-tests.cjs の期限分類テーブルと同じ期待値</x:v>
      </x:c>
    </x:row>
    <x:row r="25" ht="34" customHeight="1">
      <x:c r="A25" s="29" t="str">
        <x:v>WEEK-水-05</x:v>
      </x:c>
      <x:c r="B25" s="29" t="str">
        <x:v>2026-10-07 10:30:00.000</x:v>
      </x:c>
      <x:c r="C25" s="29" t="str">
        <x:v>水</x:v>
      </x:c>
      <x:c r="D25" s="29" t="str">
        <x:v>2026-10-12</x:v>
      </x:c>
      <x:c r="E25" s="29" t="str">
        <x:v>23:59</x:v>
      </x:c>
      <x:c r="F25" s="29" t="str">
        <x:v>来週以降</x:v>
      </x:c>
      <x:c r="G25" s="29" t="str">
        <x:v>水曜日閲覧／期限まで5日（日曜を今週の最終日として分類）</x:v>
      </x:c>
      <x:c r="H25" s="29" t="str">
        <x:v>audit/ui-tests.cjs の期限分類テーブルと同じ期待値</x:v>
      </x:c>
    </x:row>
    <x:row r="26" ht="34" customHeight="1">
      <x:c r="A26" s="29" t="str">
        <x:v>WEEK-水-06</x:v>
      </x:c>
      <x:c r="B26" s="29" t="str">
        <x:v>2026-10-07 10:30:00.000</x:v>
      </x:c>
      <x:c r="C26" s="29" t="str">
        <x:v>水</x:v>
      </x:c>
      <x:c r="D26" s="29" t="str">
        <x:v>2026-10-13</x:v>
      </x:c>
      <x:c r="E26" s="29" t="str">
        <x:v>23:59</x:v>
      </x:c>
      <x:c r="F26" s="29" t="str">
        <x:v>来週以降</x:v>
      </x:c>
      <x:c r="G26" s="29" t="str">
        <x:v>水曜日閲覧／期限まで6日（日曜を今週の最終日として分類）</x:v>
      </x:c>
      <x:c r="H26" s="29" t="str">
        <x:v>audit/ui-tests.cjs の期限分類テーブルと同じ期待値</x:v>
      </x:c>
    </x:row>
    <x:row r="27" ht="34" customHeight="1">
      <x:c r="A27" s="29" t="str">
        <x:v>WEEK-水-07</x:v>
      </x:c>
      <x:c r="B27" s="29" t="str">
        <x:v>2026-10-07 10:30:00.000</x:v>
      </x:c>
      <x:c r="C27" s="29" t="str">
        <x:v>水</x:v>
      </x:c>
      <x:c r="D27" s="29" t="str">
        <x:v>2026-10-14</x:v>
      </x:c>
      <x:c r="E27" s="29" t="str">
        <x:v>23:59</x:v>
      </x:c>
      <x:c r="F27" s="29" t="str">
        <x:v>来週以降</x:v>
      </x:c>
      <x:c r="G27" s="29" t="str">
        <x:v>水曜日閲覧／期限まで7日（日曜を今週の最終日として分類）</x:v>
      </x:c>
      <x:c r="H27" s="29" t="str">
        <x:v>audit/ui-tests.cjs の期限分類テーブルと同じ期待値</x:v>
      </x:c>
    </x:row>
    <x:row r="28" ht="34" customHeight="1">
      <x:c r="A28" s="29" t="str">
        <x:v>WEEK-水-08</x:v>
      </x:c>
      <x:c r="B28" s="29" t="str">
        <x:v>2026-10-07 10:30:00.000</x:v>
      </x:c>
      <x:c r="C28" s="29" t="str">
        <x:v>水</x:v>
      </x:c>
      <x:c r="D28" s="29" t="str">
        <x:v>2026-10-15</x:v>
      </x:c>
      <x:c r="E28" s="29" t="str">
        <x:v>23:59</x:v>
      </x:c>
      <x:c r="F28" s="29" t="str">
        <x:v>来週以降</x:v>
      </x:c>
      <x:c r="G28" s="29" t="str">
        <x:v>水曜日閲覧／期限まで8日（日曜を今週の最終日として分類）</x:v>
      </x:c>
      <x:c r="H28" s="29" t="str">
        <x:v>audit/ui-tests.cjs の期限分類テーブルと同じ期待値</x:v>
      </x:c>
    </x:row>
    <x:row r="29" ht="34" customHeight="1">
      <x:c r="A29" s="29" t="str">
        <x:v>WEEK-木-00</x:v>
      </x:c>
      <x:c r="B29" s="29" t="str">
        <x:v>2026-10-08 10:30:00.000</x:v>
      </x:c>
      <x:c r="C29" s="29" t="str">
        <x:v>木</x:v>
      </x:c>
      <x:c r="D29" s="29" t="str">
        <x:v>2026-10-08</x:v>
      </x:c>
      <x:c r="E29" s="29" t="str">
        <x:v>23:59</x:v>
      </x:c>
      <x:c r="F29" s="29" t="str">
        <x:v>今日まで</x:v>
      </x:c>
      <x:c r="G29" s="29" t="str">
        <x:v>木曜日閲覧／期限まで0日（日曜を今週の最終日として分類）</x:v>
      </x:c>
      <x:c r="H29" s="29" t="str">
        <x:v>audit/ui-tests.cjs の期限分類テーブルと同じ期待値</x:v>
      </x:c>
    </x:row>
    <x:row r="30" ht="34" customHeight="1">
      <x:c r="A30" s="29" t="str">
        <x:v>WEEK-木-01</x:v>
      </x:c>
      <x:c r="B30" s="29" t="str">
        <x:v>2026-10-08 10:30:00.000</x:v>
      </x:c>
      <x:c r="C30" s="29" t="str">
        <x:v>木</x:v>
      </x:c>
      <x:c r="D30" s="29" t="str">
        <x:v>2026-10-09</x:v>
      </x:c>
      <x:c r="E30" s="29" t="str">
        <x:v>23:59</x:v>
      </x:c>
      <x:c r="F30" s="29" t="str">
        <x:v>明日まで</x:v>
      </x:c>
      <x:c r="G30" s="29" t="str">
        <x:v>木曜日閲覧／期限まで1日（日曜を今週の最終日として分類）</x:v>
      </x:c>
      <x:c r="H30" s="29" t="str">
        <x:v>audit/ui-tests.cjs の期限分類テーブルと同じ期待値</x:v>
      </x:c>
    </x:row>
    <x:row r="31" ht="34" customHeight="1">
      <x:c r="A31" s="29" t="str">
        <x:v>WEEK-木-02</x:v>
      </x:c>
      <x:c r="B31" s="29" t="str">
        <x:v>2026-10-08 10:30:00.000</x:v>
      </x:c>
      <x:c r="C31" s="29" t="str">
        <x:v>木</x:v>
      </x:c>
      <x:c r="D31" s="29" t="str">
        <x:v>2026-10-10</x:v>
      </x:c>
      <x:c r="E31" s="29" t="str">
        <x:v>23:59</x:v>
      </x:c>
      <x:c r="F31" s="29" t="str">
        <x:v>今週中</x:v>
      </x:c>
      <x:c r="G31" s="29" t="str">
        <x:v>木曜日閲覧／期限まで2日（日曜を今週の最終日として分類）</x:v>
      </x:c>
      <x:c r="H31" s="29" t="str">
        <x:v>audit/ui-tests.cjs の期限分類テーブルと同じ期待値</x:v>
      </x:c>
    </x:row>
    <x:row r="32" ht="34" customHeight="1">
      <x:c r="A32" s="29" t="str">
        <x:v>WEEK-木-03</x:v>
      </x:c>
      <x:c r="B32" s="29" t="str">
        <x:v>2026-10-08 10:30:00.000</x:v>
      </x:c>
      <x:c r="C32" s="29" t="str">
        <x:v>木</x:v>
      </x:c>
      <x:c r="D32" s="29" t="str">
        <x:v>2026-10-11</x:v>
      </x:c>
      <x:c r="E32" s="29" t="str">
        <x:v>23:59</x:v>
      </x:c>
      <x:c r="F32" s="29" t="str">
        <x:v>今週中</x:v>
      </x:c>
      <x:c r="G32" s="29" t="str">
        <x:v>木曜日閲覧／期限まで3日（日曜を今週の最終日として分類）</x:v>
      </x:c>
      <x:c r="H32" s="29" t="str">
        <x:v>audit/ui-tests.cjs の期限分類テーブルと同じ期待値</x:v>
      </x:c>
    </x:row>
    <x:row r="33" ht="34" customHeight="1">
      <x:c r="A33" s="29" t="str">
        <x:v>WEEK-木-04</x:v>
      </x:c>
      <x:c r="B33" s="29" t="str">
        <x:v>2026-10-08 10:30:00.000</x:v>
      </x:c>
      <x:c r="C33" s="29" t="str">
        <x:v>木</x:v>
      </x:c>
      <x:c r="D33" s="29" t="str">
        <x:v>2026-10-12</x:v>
      </x:c>
      <x:c r="E33" s="29" t="str">
        <x:v>23:59</x:v>
      </x:c>
      <x:c r="F33" s="29" t="str">
        <x:v>来週以降</x:v>
      </x:c>
      <x:c r="G33" s="29" t="str">
        <x:v>木曜日閲覧／期限まで4日（日曜を今週の最終日として分類）</x:v>
      </x:c>
      <x:c r="H33" s="29" t="str">
        <x:v>audit/ui-tests.cjs の期限分類テーブルと同じ期待値</x:v>
      </x:c>
    </x:row>
    <x:row r="34" ht="34" customHeight="1">
      <x:c r="A34" s="29" t="str">
        <x:v>WEEK-木-05</x:v>
      </x:c>
      <x:c r="B34" s="29" t="str">
        <x:v>2026-10-08 10:30:00.000</x:v>
      </x:c>
      <x:c r="C34" s="29" t="str">
        <x:v>木</x:v>
      </x:c>
      <x:c r="D34" s="29" t="str">
        <x:v>2026-10-13</x:v>
      </x:c>
      <x:c r="E34" s="29" t="str">
        <x:v>23:59</x:v>
      </x:c>
      <x:c r="F34" s="29" t="str">
        <x:v>来週以降</x:v>
      </x:c>
      <x:c r="G34" s="29" t="str">
        <x:v>木曜日閲覧／期限まで5日（日曜を今週の最終日として分類）</x:v>
      </x:c>
      <x:c r="H34" s="29" t="str">
        <x:v>audit/ui-tests.cjs の期限分類テーブルと同じ期待値</x:v>
      </x:c>
    </x:row>
    <x:row r="35" ht="34" customHeight="1">
      <x:c r="A35" s="29" t="str">
        <x:v>WEEK-木-06</x:v>
      </x:c>
      <x:c r="B35" s="29" t="str">
        <x:v>2026-10-08 10:30:00.000</x:v>
      </x:c>
      <x:c r="C35" s="29" t="str">
        <x:v>木</x:v>
      </x:c>
      <x:c r="D35" s="29" t="str">
        <x:v>2026-10-14</x:v>
      </x:c>
      <x:c r="E35" s="29" t="str">
        <x:v>23:59</x:v>
      </x:c>
      <x:c r="F35" s="29" t="str">
        <x:v>来週以降</x:v>
      </x:c>
      <x:c r="G35" s="29" t="str">
        <x:v>木曜日閲覧／期限まで6日（日曜を今週の最終日として分類）</x:v>
      </x:c>
      <x:c r="H35" s="29" t="str">
        <x:v>audit/ui-tests.cjs の期限分類テーブルと同じ期待値</x:v>
      </x:c>
    </x:row>
    <x:row r="36" ht="34" customHeight="1">
      <x:c r="A36" s="29" t="str">
        <x:v>WEEK-木-07</x:v>
      </x:c>
      <x:c r="B36" s="29" t="str">
        <x:v>2026-10-08 10:30:00.000</x:v>
      </x:c>
      <x:c r="C36" s="29" t="str">
        <x:v>木</x:v>
      </x:c>
      <x:c r="D36" s="29" t="str">
        <x:v>2026-10-15</x:v>
      </x:c>
      <x:c r="E36" s="29" t="str">
        <x:v>23:59</x:v>
      </x:c>
      <x:c r="F36" s="29" t="str">
        <x:v>来週以降</x:v>
      </x:c>
      <x:c r="G36" s="29" t="str">
        <x:v>木曜日閲覧／期限まで7日（日曜を今週の最終日として分類）</x:v>
      </x:c>
      <x:c r="H36" s="29" t="str">
        <x:v>audit/ui-tests.cjs の期限分類テーブルと同じ期待値</x:v>
      </x:c>
    </x:row>
    <x:row r="37" ht="34" customHeight="1">
      <x:c r="A37" s="29" t="str">
        <x:v>WEEK-木-08</x:v>
      </x:c>
      <x:c r="B37" s="29" t="str">
        <x:v>2026-10-08 10:30:00.000</x:v>
      </x:c>
      <x:c r="C37" s="29" t="str">
        <x:v>木</x:v>
      </x:c>
      <x:c r="D37" s="29" t="str">
        <x:v>2026-10-16</x:v>
      </x:c>
      <x:c r="E37" s="29" t="str">
        <x:v>23:59</x:v>
      </x:c>
      <x:c r="F37" s="29" t="str">
        <x:v>来週以降</x:v>
      </x:c>
      <x:c r="G37" s="29" t="str">
        <x:v>木曜日閲覧／期限まで8日（日曜を今週の最終日として分類）</x:v>
      </x:c>
      <x:c r="H37" s="29" t="str">
        <x:v>audit/ui-tests.cjs の期限分類テーブルと同じ期待値</x:v>
      </x:c>
    </x:row>
    <x:row r="38" ht="34" customHeight="1">
      <x:c r="A38" s="29" t="str">
        <x:v>WEEK-金-00</x:v>
      </x:c>
      <x:c r="B38" s="29" t="str">
        <x:v>2026-10-09 10:30:00.000</x:v>
      </x:c>
      <x:c r="C38" s="29" t="str">
        <x:v>金</x:v>
      </x:c>
      <x:c r="D38" s="29" t="str">
        <x:v>2026-10-09</x:v>
      </x:c>
      <x:c r="E38" s="29" t="str">
        <x:v>23:59</x:v>
      </x:c>
      <x:c r="F38" s="29" t="str">
        <x:v>今日まで</x:v>
      </x:c>
      <x:c r="G38" s="29" t="str">
        <x:v>金曜日閲覧／期限まで0日（日曜を今週の最終日として分類）</x:v>
      </x:c>
      <x:c r="H38" s="29" t="str">
        <x:v>audit/ui-tests.cjs の期限分類テーブルと同じ期待値</x:v>
      </x:c>
    </x:row>
    <x:row r="39" ht="34" customHeight="1">
      <x:c r="A39" s="29" t="str">
        <x:v>WEEK-金-01</x:v>
      </x:c>
      <x:c r="B39" s="29" t="str">
        <x:v>2026-10-09 10:30:00.000</x:v>
      </x:c>
      <x:c r="C39" s="29" t="str">
        <x:v>金</x:v>
      </x:c>
      <x:c r="D39" s="29" t="str">
        <x:v>2026-10-10</x:v>
      </x:c>
      <x:c r="E39" s="29" t="str">
        <x:v>23:59</x:v>
      </x:c>
      <x:c r="F39" s="29" t="str">
        <x:v>明日まで</x:v>
      </x:c>
      <x:c r="G39" s="29" t="str">
        <x:v>金曜日閲覧／期限まで1日（日曜を今週の最終日として分類）</x:v>
      </x:c>
      <x:c r="H39" s="29" t="str">
        <x:v>audit/ui-tests.cjs の期限分類テーブルと同じ期待値</x:v>
      </x:c>
    </x:row>
    <x:row r="40" ht="34" customHeight="1">
      <x:c r="A40" s="29" t="str">
        <x:v>WEEK-金-02</x:v>
      </x:c>
      <x:c r="B40" s="29" t="str">
        <x:v>2026-10-09 10:30:00.000</x:v>
      </x:c>
      <x:c r="C40" s="29" t="str">
        <x:v>金</x:v>
      </x:c>
      <x:c r="D40" s="29" t="str">
        <x:v>2026-10-11</x:v>
      </x:c>
      <x:c r="E40" s="29" t="str">
        <x:v>23:59</x:v>
      </x:c>
      <x:c r="F40" s="29" t="str">
        <x:v>今週中</x:v>
      </x:c>
      <x:c r="G40" s="29" t="str">
        <x:v>金曜日閲覧／期限まで2日（日曜を今週の最終日として分類）</x:v>
      </x:c>
      <x:c r="H40" s="29" t="str">
        <x:v>audit/ui-tests.cjs の期限分類テーブルと同じ期待値</x:v>
      </x:c>
    </x:row>
    <x:row r="41" ht="34" customHeight="1">
      <x:c r="A41" s="29" t="str">
        <x:v>WEEK-金-03</x:v>
      </x:c>
      <x:c r="B41" s="29" t="str">
        <x:v>2026-10-09 10:30:00.000</x:v>
      </x:c>
      <x:c r="C41" s="29" t="str">
        <x:v>金</x:v>
      </x:c>
      <x:c r="D41" s="29" t="str">
        <x:v>2026-10-12</x:v>
      </x:c>
      <x:c r="E41" s="29" t="str">
        <x:v>23:59</x:v>
      </x:c>
      <x:c r="F41" s="29" t="str">
        <x:v>来週以降</x:v>
      </x:c>
      <x:c r="G41" s="29" t="str">
        <x:v>金曜日閲覧／期限まで3日（日曜を今週の最終日として分類）</x:v>
      </x:c>
      <x:c r="H41" s="29" t="str">
        <x:v>audit/ui-tests.cjs の期限分類テーブルと同じ期待値</x:v>
      </x:c>
    </x:row>
    <x:row r="42" ht="34" customHeight="1">
      <x:c r="A42" s="29" t="str">
        <x:v>WEEK-金-04</x:v>
      </x:c>
      <x:c r="B42" s="29" t="str">
        <x:v>2026-10-09 10:30:00.000</x:v>
      </x:c>
      <x:c r="C42" s="29" t="str">
        <x:v>金</x:v>
      </x:c>
      <x:c r="D42" s="29" t="str">
        <x:v>2026-10-13</x:v>
      </x:c>
      <x:c r="E42" s="29" t="str">
        <x:v>23:59</x:v>
      </x:c>
      <x:c r="F42" s="29" t="str">
        <x:v>来週以降</x:v>
      </x:c>
      <x:c r="G42" s="29" t="str">
        <x:v>金曜日閲覧／期限まで4日（日曜を今週の最終日として分類）</x:v>
      </x:c>
      <x:c r="H42" s="29" t="str">
        <x:v>audit/ui-tests.cjs の期限分類テーブルと同じ期待値</x:v>
      </x:c>
    </x:row>
    <x:row r="43" ht="34" customHeight="1">
      <x:c r="A43" s="29" t="str">
        <x:v>WEEK-金-05</x:v>
      </x:c>
      <x:c r="B43" s="29" t="str">
        <x:v>2026-10-09 10:30:00.000</x:v>
      </x:c>
      <x:c r="C43" s="29" t="str">
        <x:v>金</x:v>
      </x:c>
      <x:c r="D43" s="29" t="str">
        <x:v>2026-10-14</x:v>
      </x:c>
      <x:c r="E43" s="29" t="str">
        <x:v>23:59</x:v>
      </x:c>
      <x:c r="F43" s="29" t="str">
        <x:v>来週以降</x:v>
      </x:c>
      <x:c r="G43" s="29" t="str">
        <x:v>金曜日閲覧／期限まで5日（日曜を今週の最終日として分類）</x:v>
      </x:c>
      <x:c r="H43" s="29" t="str">
        <x:v>audit/ui-tests.cjs の期限分類テーブルと同じ期待値</x:v>
      </x:c>
    </x:row>
    <x:row r="44" ht="34" customHeight="1">
      <x:c r="A44" s="29" t="str">
        <x:v>WEEK-金-06</x:v>
      </x:c>
      <x:c r="B44" s="29" t="str">
        <x:v>2026-10-09 10:30:00.000</x:v>
      </x:c>
      <x:c r="C44" s="29" t="str">
        <x:v>金</x:v>
      </x:c>
      <x:c r="D44" s="29" t="str">
        <x:v>2026-10-15</x:v>
      </x:c>
      <x:c r="E44" s="29" t="str">
        <x:v>23:59</x:v>
      </x:c>
      <x:c r="F44" s="29" t="str">
        <x:v>来週以降</x:v>
      </x:c>
      <x:c r="G44" s="29" t="str">
        <x:v>金曜日閲覧／期限まで6日（日曜を今週の最終日として分類）</x:v>
      </x:c>
      <x:c r="H44" s="29" t="str">
        <x:v>audit/ui-tests.cjs の期限分類テーブルと同じ期待値</x:v>
      </x:c>
    </x:row>
    <x:row r="45" ht="34" customHeight="1">
      <x:c r="A45" s="29" t="str">
        <x:v>WEEK-金-07</x:v>
      </x:c>
      <x:c r="B45" s="29" t="str">
        <x:v>2026-10-09 10:30:00.000</x:v>
      </x:c>
      <x:c r="C45" s="29" t="str">
        <x:v>金</x:v>
      </x:c>
      <x:c r="D45" s="29" t="str">
        <x:v>2026-10-16</x:v>
      </x:c>
      <x:c r="E45" s="29" t="str">
        <x:v>23:59</x:v>
      </x:c>
      <x:c r="F45" s="29" t="str">
        <x:v>来週以降</x:v>
      </x:c>
      <x:c r="G45" s="29" t="str">
        <x:v>金曜日閲覧／期限まで7日（日曜を今週の最終日として分類）</x:v>
      </x:c>
      <x:c r="H45" s="29" t="str">
        <x:v>audit/ui-tests.cjs の期限分類テーブルと同じ期待値</x:v>
      </x:c>
    </x:row>
    <x:row r="46" ht="34" customHeight="1">
      <x:c r="A46" s="29" t="str">
        <x:v>WEEK-金-08</x:v>
      </x:c>
      <x:c r="B46" s="29" t="str">
        <x:v>2026-10-09 10:30:00.000</x:v>
      </x:c>
      <x:c r="C46" s="29" t="str">
        <x:v>金</x:v>
      </x:c>
      <x:c r="D46" s="29" t="str">
        <x:v>2026-10-17</x:v>
      </x:c>
      <x:c r="E46" s="29" t="str">
        <x:v>23:59</x:v>
      </x:c>
      <x:c r="F46" s="29" t="str">
        <x:v>来週以降</x:v>
      </x:c>
      <x:c r="G46" s="29" t="str">
        <x:v>金曜日閲覧／期限まで8日（日曜を今週の最終日として分類）</x:v>
      </x:c>
      <x:c r="H46" s="29" t="str">
        <x:v>audit/ui-tests.cjs の期限分類テーブルと同じ期待値</x:v>
      </x:c>
    </x:row>
    <x:row r="47" ht="34" customHeight="1">
      <x:c r="A47" s="29" t="str">
        <x:v>WEEK-土-00</x:v>
      </x:c>
      <x:c r="B47" s="29" t="str">
        <x:v>2026-10-10 10:30:00.000</x:v>
      </x:c>
      <x:c r="C47" s="29" t="str">
        <x:v>土</x:v>
      </x:c>
      <x:c r="D47" s="29" t="str">
        <x:v>2026-10-10</x:v>
      </x:c>
      <x:c r="E47" s="29" t="str">
        <x:v>23:59</x:v>
      </x:c>
      <x:c r="F47" s="29" t="str">
        <x:v>今日まで</x:v>
      </x:c>
      <x:c r="G47" s="29" t="str">
        <x:v>土曜日閲覧／期限まで0日（日曜を今週の最終日として分類）</x:v>
      </x:c>
      <x:c r="H47" s="29" t="str">
        <x:v>audit/ui-tests.cjs の期限分類テーブルと同じ期待値</x:v>
      </x:c>
    </x:row>
    <x:row r="48" ht="34" customHeight="1">
      <x:c r="A48" s="29" t="str">
        <x:v>WEEK-土-01</x:v>
      </x:c>
      <x:c r="B48" s="29" t="str">
        <x:v>2026-10-10 10:30:00.000</x:v>
      </x:c>
      <x:c r="C48" s="29" t="str">
        <x:v>土</x:v>
      </x:c>
      <x:c r="D48" s="29" t="str">
        <x:v>2026-10-11</x:v>
      </x:c>
      <x:c r="E48" s="29" t="str">
        <x:v>23:59</x:v>
      </x:c>
      <x:c r="F48" s="29" t="str">
        <x:v>明日まで</x:v>
      </x:c>
      <x:c r="G48" s="29" t="str">
        <x:v>土曜日閲覧／期限まで1日（日曜を今週の最終日として分類）</x:v>
      </x:c>
      <x:c r="H48" s="29" t="str">
        <x:v>audit/ui-tests.cjs の期限分類テーブルと同じ期待値</x:v>
      </x:c>
    </x:row>
    <x:row r="49" ht="34" customHeight="1">
      <x:c r="A49" s="29" t="str">
        <x:v>WEEK-土-02</x:v>
      </x:c>
      <x:c r="B49" s="29" t="str">
        <x:v>2026-10-10 10:30:00.000</x:v>
      </x:c>
      <x:c r="C49" s="29" t="str">
        <x:v>土</x:v>
      </x:c>
      <x:c r="D49" s="29" t="str">
        <x:v>2026-10-12</x:v>
      </x:c>
      <x:c r="E49" s="29" t="str">
        <x:v>23:59</x:v>
      </x:c>
      <x:c r="F49" s="29" t="str">
        <x:v>来週以降</x:v>
      </x:c>
      <x:c r="G49" s="29" t="str">
        <x:v>土曜日閲覧／期限まで2日（日曜を今週の最終日として分類）</x:v>
      </x:c>
      <x:c r="H49" s="29" t="str">
        <x:v>audit/ui-tests.cjs の期限分類テーブルと同じ期待値</x:v>
      </x:c>
    </x:row>
    <x:row r="50" ht="34" customHeight="1">
      <x:c r="A50" s="29" t="str">
        <x:v>WEEK-土-03</x:v>
      </x:c>
      <x:c r="B50" s="29" t="str">
        <x:v>2026-10-10 10:30:00.000</x:v>
      </x:c>
      <x:c r="C50" s="29" t="str">
        <x:v>土</x:v>
      </x:c>
      <x:c r="D50" s="29" t="str">
        <x:v>2026-10-13</x:v>
      </x:c>
      <x:c r="E50" s="29" t="str">
        <x:v>23:59</x:v>
      </x:c>
      <x:c r="F50" s="29" t="str">
        <x:v>来週以降</x:v>
      </x:c>
      <x:c r="G50" s="29" t="str">
        <x:v>土曜日閲覧／期限まで3日（日曜を今週の最終日として分類）</x:v>
      </x:c>
      <x:c r="H50" s="29" t="str">
        <x:v>audit/ui-tests.cjs の期限分類テーブルと同じ期待値</x:v>
      </x:c>
    </x:row>
    <x:row r="51" ht="34" customHeight="1">
      <x:c r="A51" s="29" t="str">
        <x:v>WEEK-土-04</x:v>
      </x:c>
      <x:c r="B51" s="29" t="str">
        <x:v>2026-10-10 10:30:00.000</x:v>
      </x:c>
      <x:c r="C51" s="29" t="str">
        <x:v>土</x:v>
      </x:c>
      <x:c r="D51" s="29" t="str">
        <x:v>2026-10-14</x:v>
      </x:c>
      <x:c r="E51" s="29" t="str">
        <x:v>23:59</x:v>
      </x:c>
      <x:c r="F51" s="29" t="str">
        <x:v>来週以降</x:v>
      </x:c>
      <x:c r="G51" s="29" t="str">
        <x:v>土曜日閲覧／期限まで4日（日曜を今週の最終日として分類）</x:v>
      </x:c>
      <x:c r="H51" s="29" t="str">
        <x:v>audit/ui-tests.cjs の期限分類テーブルと同じ期待値</x:v>
      </x:c>
    </x:row>
    <x:row r="52" ht="34" customHeight="1">
      <x:c r="A52" s="29" t="str">
        <x:v>WEEK-土-05</x:v>
      </x:c>
      <x:c r="B52" s="29" t="str">
        <x:v>2026-10-10 10:30:00.000</x:v>
      </x:c>
      <x:c r="C52" s="29" t="str">
        <x:v>土</x:v>
      </x:c>
      <x:c r="D52" s="29" t="str">
        <x:v>2026-10-15</x:v>
      </x:c>
      <x:c r="E52" s="29" t="str">
        <x:v>23:59</x:v>
      </x:c>
      <x:c r="F52" s="29" t="str">
        <x:v>来週以降</x:v>
      </x:c>
      <x:c r="G52" s="29" t="str">
        <x:v>土曜日閲覧／期限まで5日（日曜を今週の最終日として分類）</x:v>
      </x:c>
      <x:c r="H52" s="29" t="str">
        <x:v>audit/ui-tests.cjs の期限分類テーブルと同じ期待値</x:v>
      </x:c>
    </x:row>
    <x:row r="53" ht="34" customHeight="1">
      <x:c r="A53" s="29" t="str">
        <x:v>WEEK-土-06</x:v>
      </x:c>
      <x:c r="B53" s="29" t="str">
        <x:v>2026-10-10 10:30:00.000</x:v>
      </x:c>
      <x:c r="C53" s="29" t="str">
        <x:v>土</x:v>
      </x:c>
      <x:c r="D53" s="29" t="str">
        <x:v>2026-10-16</x:v>
      </x:c>
      <x:c r="E53" s="29" t="str">
        <x:v>23:59</x:v>
      </x:c>
      <x:c r="F53" s="29" t="str">
        <x:v>来週以降</x:v>
      </x:c>
      <x:c r="G53" s="29" t="str">
        <x:v>土曜日閲覧／期限まで6日（日曜を今週の最終日として分類）</x:v>
      </x:c>
      <x:c r="H53" s="29" t="str">
        <x:v>audit/ui-tests.cjs の期限分類テーブルと同じ期待値</x:v>
      </x:c>
    </x:row>
    <x:row r="54" ht="34" customHeight="1">
      <x:c r="A54" s="29" t="str">
        <x:v>WEEK-土-07</x:v>
      </x:c>
      <x:c r="B54" s="29" t="str">
        <x:v>2026-10-10 10:30:00.000</x:v>
      </x:c>
      <x:c r="C54" s="29" t="str">
        <x:v>土</x:v>
      </x:c>
      <x:c r="D54" s="29" t="str">
        <x:v>2026-10-17</x:v>
      </x:c>
      <x:c r="E54" s="29" t="str">
        <x:v>23:59</x:v>
      </x:c>
      <x:c r="F54" s="29" t="str">
        <x:v>来週以降</x:v>
      </x:c>
      <x:c r="G54" s="29" t="str">
        <x:v>土曜日閲覧／期限まで7日（日曜を今週の最終日として分類）</x:v>
      </x:c>
      <x:c r="H54" s="29" t="str">
        <x:v>audit/ui-tests.cjs の期限分類テーブルと同じ期待値</x:v>
      </x:c>
    </x:row>
    <x:row r="55" ht="34" customHeight="1">
      <x:c r="A55" s="29" t="str">
        <x:v>WEEK-土-08</x:v>
      </x:c>
      <x:c r="B55" s="29" t="str">
        <x:v>2026-10-10 10:30:00.000</x:v>
      </x:c>
      <x:c r="C55" s="29" t="str">
        <x:v>土</x:v>
      </x:c>
      <x:c r="D55" s="29" t="str">
        <x:v>2026-10-18</x:v>
      </x:c>
      <x:c r="E55" s="29" t="str">
        <x:v>23:59</x:v>
      </x:c>
      <x:c r="F55" s="29" t="str">
        <x:v>来週以降</x:v>
      </x:c>
      <x:c r="G55" s="29" t="str">
        <x:v>土曜日閲覧／期限まで8日（日曜を今週の最終日として分類）</x:v>
      </x:c>
      <x:c r="H55" s="29" t="str">
        <x:v>audit/ui-tests.cjs の期限分類テーブルと同じ期待値</x:v>
      </x:c>
    </x:row>
    <x:row r="56" ht="34" customHeight="1">
      <x:c r="A56" s="29" t="str">
        <x:v>WEEK-日-00</x:v>
      </x:c>
      <x:c r="B56" s="29" t="str">
        <x:v>2026-10-11 10:30:00.000</x:v>
      </x:c>
      <x:c r="C56" s="29" t="str">
        <x:v>日</x:v>
      </x:c>
      <x:c r="D56" s="29" t="str">
        <x:v>2026-10-11</x:v>
      </x:c>
      <x:c r="E56" s="29" t="str">
        <x:v>23:59</x:v>
      </x:c>
      <x:c r="F56" s="29" t="str">
        <x:v>今日まで</x:v>
      </x:c>
      <x:c r="G56" s="29" t="str">
        <x:v>日曜日閲覧／期限まで0日（日曜を今週の最終日として分類）</x:v>
      </x:c>
      <x:c r="H56" s="29" t="str">
        <x:v>audit/ui-tests.cjs の期限分類テーブルと同じ期待値</x:v>
      </x:c>
    </x:row>
    <x:row r="57" ht="34" customHeight="1">
      <x:c r="A57" s="29" t="str">
        <x:v>WEEK-日-01</x:v>
      </x:c>
      <x:c r="B57" s="29" t="str">
        <x:v>2026-10-11 10:30:00.000</x:v>
      </x:c>
      <x:c r="C57" s="29" t="str">
        <x:v>日</x:v>
      </x:c>
      <x:c r="D57" s="29" t="str">
        <x:v>2026-10-12</x:v>
      </x:c>
      <x:c r="E57" s="29" t="str">
        <x:v>23:59</x:v>
      </x:c>
      <x:c r="F57" s="29" t="str">
        <x:v>明日まで</x:v>
      </x:c>
      <x:c r="G57" s="29" t="str">
        <x:v>日曜日閲覧／期限まで1日（日曜を今週の最終日として分類）</x:v>
      </x:c>
      <x:c r="H57" s="29" t="str">
        <x:v>audit/ui-tests.cjs の期限分類テーブルと同じ期待値</x:v>
      </x:c>
    </x:row>
    <x:row r="58" ht="34" customHeight="1">
      <x:c r="A58" s="29" t="str">
        <x:v>WEEK-日-02</x:v>
      </x:c>
      <x:c r="B58" s="29" t="str">
        <x:v>2026-10-11 10:30:00.000</x:v>
      </x:c>
      <x:c r="C58" s="29" t="str">
        <x:v>日</x:v>
      </x:c>
      <x:c r="D58" s="29" t="str">
        <x:v>2026-10-13</x:v>
      </x:c>
      <x:c r="E58" s="29" t="str">
        <x:v>23:59</x:v>
      </x:c>
      <x:c r="F58" s="29" t="str">
        <x:v>来週以降</x:v>
      </x:c>
      <x:c r="G58" s="29" t="str">
        <x:v>日曜日閲覧／期限まで2日（日曜を今週の最終日として分類）</x:v>
      </x:c>
      <x:c r="H58" s="29" t="str">
        <x:v>audit/ui-tests.cjs の期限分類テーブルと同じ期待値</x:v>
      </x:c>
    </x:row>
    <x:row r="59" ht="34" customHeight="1">
      <x:c r="A59" s="29" t="str">
        <x:v>WEEK-日-03</x:v>
      </x:c>
      <x:c r="B59" s="29" t="str">
        <x:v>2026-10-11 10:30:00.000</x:v>
      </x:c>
      <x:c r="C59" s="29" t="str">
        <x:v>日</x:v>
      </x:c>
      <x:c r="D59" s="29" t="str">
        <x:v>2026-10-14</x:v>
      </x:c>
      <x:c r="E59" s="29" t="str">
        <x:v>23:59</x:v>
      </x:c>
      <x:c r="F59" s="29" t="str">
        <x:v>来週以降</x:v>
      </x:c>
      <x:c r="G59" s="29" t="str">
        <x:v>日曜日閲覧／期限まで3日（日曜を今週の最終日として分類）</x:v>
      </x:c>
      <x:c r="H59" s="29" t="str">
        <x:v>audit/ui-tests.cjs の期限分類テーブルと同じ期待値</x:v>
      </x:c>
    </x:row>
    <x:row r="60" ht="34" customHeight="1">
      <x:c r="A60" s="29" t="str">
        <x:v>WEEK-日-04</x:v>
      </x:c>
      <x:c r="B60" s="29" t="str">
        <x:v>2026-10-11 10:30:00.000</x:v>
      </x:c>
      <x:c r="C60" s="29" t="str">
        <x:v>日</x:v>
      </x:c>
      <x:c r="D60" s="29" t="str">
        <x:v>2026-10-15</x:v>
      </x:c>
      <x:c r="E60" s="29" t="str">
        <x:v>23:59</x:v>
      </x:c>
      <x:c r="F60" s="29" t="str">
        <x:v>来週以降</x:v>
      </x:c>
      <x:c r="G60" s="29" t="str">
        <x:v>日曜日閲覧／期限まで4日（日曜を今週の最終日として分類）</x:v>
      </x:c>
      <x:c r="H60" s="29" t="str">
        <x:v>audit/ui-tests.cjs の期限分類テーブルと同じ期待値</x:v>
      </x:c>
    </x:row>
    <x:row r="61" ht="34" customHeight="1">
      <x:c r="A61" s="29" t="str">
        <x:v>WEEK-日-05</x:v>
      </x:c>
      <x:c r="B61" s="29" t="str">
        <x:v>2026-10-11 10:30:00.000</x:v>
      </x:c>
      <x:c r="C61" s="29" t="str">
        <x:v>日</x:v>
      </x:c>
      <x:c r="D61" s="29" t="str">
        <x:v>2026-10-16</x:v>
      </x:c>
      <x:c r="E61" s="29" t="str">
        <x:v>23:59</x:v>
      </x:c>
      <x:c r="F61" s="29" t="str">
        <x:v>来週以降</x:v>
      </x:c>
      <x:c r="G61" s="29" t="str">
        <x:v>日曜日閲覧／期限まで5日（日曜を今週の最終日として分類）</x:v>
      </x:c>
      <x:c r="H61" s="29" t="str">
        <x:v>audit/ui-tests.cjs の期限分類テーブルと同じ期待値</x:v>
      </x:c>
    </x:row>
    <x:row r="62" ht="34" customHeight="1">
      <x:c r="A62" s="29" t="str">
        <x:v>WEEK-日-06</x:v>
      </x:c>
      <x:c r="B62" s="29" t="str">
        <x:v>2026-10-11 10:30:00.000</x:v>
      </x:c>
      <x:c r="C62" s="29" t="str">
        <x:v>日</x:v>
      </x:c>
      <x:c r="D62" s="29" t="str">
        <x:v>2026-10-17</x:v>
      </x:c>
      <x:c r="E62" s="29" t="str">
        <x:v>23:59</x:v>
      </x:c>
      <x:c r="F62" s="29" t="str">
        <x:v>来週以降</x:v>
      </x:c>
      <x:c r="G62" s="29" t="str">
        <x:v>日曜日閲覧／期限まで6日（日曜を今週の最終日として分類）</x:v>
      </x:c>
      <x:c r="H62" s="29" t="str">
        <x:v>audit/ui-tests.cjs の期限分類テーブルと同じ期待値</x:v>
      </x:c>
    </x:row>
    <x:row r="63" ht="34" customHeight="1">
      <x:c r="A63" s="29" t="str">
        <x:v>WEEK-日-07</x:v>
      </x:c>
      <x:c r="B63" s="29" t="str">
        <x:v>2026-10-11 10:30:00.000</x:v>
      </x:c>
      <x:c r="C63" s="29" t="str">
        <x:v>日</x:v>
      </x:c>
      <x:c r="D63" s="29" t="str">
        <x:v>2026-10-18</x:v>
      </x:c>
      <x:c r="E63" s="29" t="str">
        <x:v>23:59</x:v>
      </x:c>
      <x:c r="F63" s="29" t="str">
        <x:v>来週以降</x:v>
      </x:c>
      <x:c r="G63" s="29" t="str">
        <x:v>日曜日閲覧／期限まで7日（日曜を今週の最終日として分類）</x:v>
      </x:c>
      <x:c r="H63" s="29" t="str">
        <x:v>audit/ui-tests.cjs の期限分類テーブルと同じ期待値</x:v>
      </x:c>
    </x:row>
    <x:row r="64" ht="34" customHeight="1">
      <x:c r="A64" s="29" t="str">
        <x:v>WEEK-日-08</x:v>
      </x:c>
      <x:c r="B64" s="29" t="str">
        <x:v>2026-10-11 10:30:00.000</x:v>
      </x:c>
      <x:c r="C64" s="29" t="str">
        <x:v>日</x:v>
      </x:c>
      <x:c r="D64" s="29" t="str">
        <x:v>2026-10-19</x:v>
      </x:c>
      <x:c r="E64" s="29" t="str">
        <x:v>23:59</x:v>
      </x:c>
      <x:c r="F64" s="29" t="str">
        <x:v>来週以降</x:v>
      </x:c>
      <x:c r="G64" s="29" t="str">
        <x:v>日曜日閲覧／期限まで8日（日曜を今週の最終日として分類）</x:v>
      </x:c>
      <x:c r="H64" s="29" t="str">
        <x:v>audit/ui-tests.cjs の期限分類テーブルと同じ期待値</x:v>
      </x:c>
    </x:row>
    <x:row r="65" ht="34" customHeight="1">
      <x:c r="A65" s="29" t="str">
        <x:v>FRIDAY-SUNDAY-WEEK</x:v>
      </x:c>
      <x:c r="B65" s="29" t="str">
        <x:v>2026-10-09 10:30:00.000</x:v>
      </x:c>
      <x:c r="C65" s="29" t="str">
        <x:v>金</x:v>
      </x:c>
      <x:c r="D65" s="29" t="str">
        <x:v>2026-10-11</x:v>
      </x:c>
      <x:c r="E65" s="29" t="str">
        <x:v>23:59</x:v>
      </x:c>
      <x:c r="F65" s="29" t="str">
        <x:v>今週中</x:v>
      </x:c>
      <x:c r="G65" s="29" t="str">
        <x:v>金曜閲覧の日曜締切は今週中</x:v>
      </x:c>
      <x:c r="H65" s="29" t="str">
        <x:v>audit/ui-tests.cjs の期限分類テーブルと同じ期待値</x:v>
      </x:c>
    </x:row>
    <x:row r="66" ht="34" customHeight="1">
      <x:c r="A66" s="29" t="str">
        <x:v>SATURDAY-SUNDAY-TOMORROW</x:v>
      </x:c>
      <x:c r="B66" s="29" t="str">
        <x:v>2026-10-10 10:30:00.000</x:v>
      </x:c>
      <x:c r="C66" s="29" t="str">
        <x:v>土</x:v>
      </x:c>
      <x:c r="D66" s="29" t="str">
        <x:v>2026-10-11</x:v>
      </x:c>
      <x:c r="E66" s="29" t="str">
        <x:v>23:59</x:v>
      </x:c>
      <x:c r="F66" s="29" t="str">
        <x:v>明日まで</x:v>
      </x:c>
      <x:c r="G66" s="29" t="str">
        <x:v>土曜閲覧の日曜締切は明日だけに表示</x:v>
      </x:c>
      <x:c r="H66" s="29" t="str">
        <x:v>audit/ui-tests.cjs の期限分類テーブルと同じ期待値</x:v>
      </x:c>
    </x:row>
    <x:row r="67" ht="34" customHeight="1">
      <x:c r="A67" s="29" t="str">
        <x:v>SATURDAY-MONDAY-LATER</x:v>
      </x:c>
      <x:c r="B67" s="29" t="str">
        <x:v>2026-10-10 10:30:00.000</x:v>
      </x:c>
      <x:c r="C67" s="29" t="str">
        <x:v>土</x:v>
      </x:c>
      <x:c r="D67" s="29" t="str">
        <x:v>2026-10-12</x:v>
      </x:c>
      <x:c r="E67" s="29" t="str">
        <x:v>23:59</x:v>
      </x:c>
      <x:c r="F67" s="29" t="str">
        <x:v>来週以降</x:v>
      </x:c>
      <x:c r="G67" s="29" t="str">
        <x:v>土曜閲覧の次の月曜は来週以降</x:v>
      </x:c>
      <x:c r="H67" s="29" t="str">
        <x:v>audit/ui-tests.cjs の期限分類テーブルと同じ期待値</x:v>
      </x:c>
    </x:row>
    <x:row r="68" ht="34" customHeight="1">
      <x:c r="A68" s="29" t="str">
        <x:v>SUNDAY-MONDAY-TOMORROW</x:v>
      </x:c>
      <x:c r="B68" s="29" t="str">
        <x:v>2026-10-11 10:30:00.000</x:v>
      </x:c>
      <x:c r="C68" s="29" t="str">
        <x:v>日</x:v>
      </x:c>
      <x:c r="D68" s="29" t="str">
        <x:v>2026-10-12</x:v>
      </x:c>
      <x:c r="E68" s="29" t="str">
        <x:v>23:59</x:v>
      </x:c>
      <x:c r="F68" s="29" t="str">
        <x:v>明日まで</x:v>
      </x:c>
      <x:c r="G68" s="29" t="str">
        <x:v>日曜閲覧の次の月曜は明日</x:v>
      </x:c>
      <x:c r="H68" s="29" t="str">
        <x:v>audit/ui-tests.cjs の期限分類テーブルと同じ期待値</x:v>
      </x:c>
    </x:row>
    <x:row r="69" ht="34" customHeight="1">
      <x:c r="A69" s="29" t="str">
        <x:v>MINUTE-1230-START</x:v>
      </x:c>
      <x:c r="B69" s="29" t="str">
        <x:v>2026-10-08 12:30:00.000</x:v>
      </x:c>
      <x:c r="C69" s="29" t="str">
        <x:v>木</x:v>
      </x:c>
      <x:c r="D69" s="29" t="str">
        <x:v>2026-10-08</x:v>
      </x:c>
      <x:c r="E69" s="29" t="str">
        <x:v>12:30</x:v>
      </x:c>
      <x:c r="F69" s="29" t="str">
        <x:v>今日まで</x:v>
      </x:c>
      <x:c r="G69" s="29" t="str">
        <x:v>時刻付き締切の分の開始</x:v>
      </x:c>
      <x:c r="H69" s="29" t="str">
        <x:v>audit/ui-tests.cjs の期限分類テーブルと同じ期待値</x:v>
      </x:c>
    </x:row>
    <x:row r="70" ht="34" customHeight="1">
      <x:c r="A70" s="29" t="str">
        <x:v>MINUTE-1230-END</x:v>
      </x:c>
      <x:c r="B70" s="29" t="str">
        <x:v>2026-10-08 12:30:59.999</x:v>
      </x:c>
      <x:c r="C70" s="29" t="str">
        <x:v>木</x:v>
      </x:c>
      <x:c r="D70" s="29" t="str">
        <x:v>2026-10-08</x:v>
      </x:c>
      <x:c r="E70" s="29" t="str">
        <x:v>12:30</x:v>
      </x:c>
      <x:c r="F70" s="29" t="str">
        <x:v>今日まで</x:v>
      </x:c>
      <x:c r="G70" s="29" t="str">
        <x:v>時刻付き締切の分の最終ミリ秒</x:v>
      </x:c>
      <x:c r="H70" s="29" t="str">
        <x:v>audit/ui-tests.cjs の期限分類テーブルと同じ期待値</x:v>
      </x:c>
    </x:row>
    <x:row r="71" ht="34" customHeight="1">
      <x:c r="A71" s="29" t="str">
        <x:v>MINUTE-1231</x:v>
      </x:c>
      <x:c r="B71" s="29" t="str">
        <x:v>2026-10-08 12:31:00.000</x:v>
      </x:c>
      <x:c r="C71" s="29" t="str">
        <x:v>木</x:v>
      </x:c>
      <x:c r="D71" s="29" t="str">
        <x:v>2026-10-08</x:v>
      </x:c>
      <x:c r="E71" s="29" t="str">
        <x:v>12:30</x:v>
      </x:c>
      <x:c r="F71" s="29" t="str">
        <x:v>期限切れ</x:v>
      </x:c>
      <x:c r="G71" s="29" t="str">
        <x:v>時刻付き締切の次の分で期限切れ</x:v>
      </x:c>
      <x:c r="H71" s="29" t="str">
        <x:v>audit/ui-tests.cjs の期限分類テーブルと同じ期待値</x:v>
      </x:c>
    </x:row>
    <x:row r="72" ht="34" customHeight="1">
      <x:c r="A72" s="29" t="str">
        <x:v>DAY-2359-START</x:v>
      </x:c>
      <x:c r="B72" s="29" t="str">
        <x:v>2026-10-10 23:59:00.000</x:v>
      </x:c>
      <x:c r="C72" s="29" t="str">
        <x:v>土</x:v>
      </x:c>
      <x:c r="D72" s="29" t="str">
        <x:v>2026-10-10</x:v>
      </x:c>
      <x:c r="E72" s="29" t="str">
        <x:v>23:59</x:v>
      </x:c>
      <x:c r="F72" s="29" t="str">
        <x:v>今日まで</x:v>
      </x:c>
      <x:c r="G72" s="29" t="str">
        <x:v>23:59締切の分の開始</x:v>
      </x:c>
      <x:c r="H72" s="29" t="str">
        <x:v>audit/ui-tests.cjs の期限分類テーブルと同じ期待値</x:v>
      </x:c>
    </x:row>
    <x:row r="73" ht="34" customHeight="1">
      <x:c r="A73" s="29" t="str">
        <x:v>DAY-2359-END</x:v>
      </x:c>
      <x:c r="B73" s="29" t="str">
        <x:v>2026-10-10 23:59:59.999</x:v>
      </x:c>
      <x:c r="C73" s="29" t="str">
        <x:v>土</x:v>
      </x:c>
      <x:c r="D73" s="29" t="str">
        <x:v>2026-10-10</x:v>
      </x:c>
      <x:c r="E73" s="29" t="str">
        <x:v>23:59</x:v>
      </x:c>
      <x:c r="F73" s="29" t="str">
        <x:v>今日まで</x:v>
      </x:c>
      <x:c r="G73" s="29" t="str">
        <x:v>23:59締切の最終ミリ秒</x:v>
      </x:c>
      <x:c r="H73" s="29" t="str">
        <x:v>audit/ui-tests.cjs の期限分類テーブルと同じ期待値</x:v>
      </x:c>
    </x:row>
    <x:row r="74" ht="34" customHeight="1">
      <x:c r="A74" s="29" t="str">
        <x:v>DAY-0000</x:v>
      </x:c>
      <x:c r="B74" s="29" t="str">
        <x:v>2026-10-11 00:00:00.000</x:v>
      </x:c>
      <x:c r="C74" s="29" t="str">
        <x:v>日</x:v>
      </x:c>
      <x:c r="D74" s="29" t="str">
        <x:v>2026-10-10</x:v>
      </x:c>
      <x:c r="E74" s="29" t="str">
        <x:v>23:59</x:v>
      </x:c>
      <x:c r="F74" s="29" t="str">
        <x:v>期限切れ</x:v>
      </x:c>
      <x:c r="G74" s="29" t="str">
        <x:v>日付が変わった直後に期限切れ</x:v>
      </x:c>
      <x:c r="H74" s="29" t="str">
        <x:v>audit/ui-tests.cjs の期限分類テーブルと同じ期待値</x:v>
      </x:c>
    </x:row>
    <x:row r="75" ht="34" customHeight="1">
      <x:c r="A75" s="29" t="str">
        <x:v>DATE-ONLY-END</x:v>
      </x:c>
      <x:c r="B75" s="29" t="str">
        <x:v>2026-10-08 23:59:59.999</x:v>
      </x:c>
      <x:c r="C75" s="29" t="str">
        <x:v>木</x:v>
      </x:c>
      <x:c r="D75" s="29" t="str">
        <x:v>2026-10-08</x:v>
      </x:c>
      <x:c r="E75" s="29" t="str">
        <x:v>（時刻なし／23:59扱い）</x:v>
      </x:c>
      <x:c r="F75" s="29" t="str">
        <x:v>今日まで</x:v>
      </x:c>
      <x:c r="G75" s="29" t="str">
        <x:v>時刻なし期限は当日23:59の最終ミリ秒まで有効</x:v>
      </x:c>
      <x:c r="H75" s="29" t="str">
        <x:v>audit/ui-tests.cjs の期限分類テーブルと同じ期待値</x:v>
      </x:c>
    </x:row>
    <x:row r="76" ht="34" customHeight="1">
      <x:c r="A76" s="29" t="str">
        <x:v>DATE-ONLY-NEXT-DAY</x:v>
      </x:c>
      <x:c r="B76" s="29" t="str">
        <x:v>2026-10-09 00:00:00.000</x:v>
      </x:c>
      <x:c r="C76" s="29" t="str">
        <x:v>金</x:v>
      </x:c>
      <x:c r="D76" s="29" t="str">
        <x:v>2026-10-08</x:v>
      </x:c>
      <x:c r="E76" s="29" t="str">
        <x:v>（時刻なし／23:59扱い）</x:v>
      </x:c>
      <x:c r="F76" s="29" t="str">
        <x:v>期限切れ</x:v>
      </x:c>
      <x:c r="G76" s="29" t="str">
        <x:v>日付のみ期限の翌日0:00</x:v>
      </x:c>
      <x:c r="H76" s="29" t="str">
        <x:v>audit/ui-tests.cjs の期限分類テーブルと同じ期待値</x:v>
      </x:c>
    </x:row>
    <x:row r="77" ht="34" customHeight="1">
      <x:c r="A77" s="29" t="str">
        <x:v>MIDNIGHT-NORMALIZED-END</x:v>
      </x:c>
      <x:c r="B77" s="29" t="str">
        <x:v>2026-10-10 23:59:59.999</x:v>
      </x:c>
      <x:c r="C77" s="29" t="str">
        <x:v>土</x:v>
      </x:c>
      <x:c r="D77" s="29" t="str">
        <x:v>2026-10-10</x:v>
      </x:c>
      <x:c r="E77" s="29" t="str">
        <x:v>23:59</x:v>
      </x:c>
      <x:c r="F77" s="29" t="str">
        <x:v>今日まで</x:v>
      </x:c>
      <x:c r="G77" s="29" t="str">
        <x:v>メールの翌日0:00を前日23:59へ補正した後の最終ミリ秒</x:v>
      </x:c>
      <x:c r="H77" s="29" t="str">
        <x:v>audit/ui-tests.cjs の期限分類テーブルと同じ期待値</x:v>
      </x:c>
    </x:row>
    <x:row r="78" ht="34" customHeight="1">
      <x:c r="A78" s="29" t="str">
        <x:v>LEAP-DAY</x:v>
      </x:c>
      <x:c r="B78" s="29" t="str">
        <x:v>2028-02-28 10:30:00.000</x:v>
      </x:c>
      <x:c r="C78" s="29" t="str">
        <x:v>月</x:v>
      </x:c>
      <x:c r="D78" s="29" t="str">
        <x:v>2028-02-29</x:v>
      </x:c>
      <x:c r="E78" s="29" t="str">
        <x:v>23:59</x:v>
      </x:c>
      <x:c r="F78" s="29" t="str">
        <x:v>明日まで</x:v>
      </x:c>
      <x:c r="G78" s="29" t="str">
        <x:v>閏年2月28日から2月29日</x:v>
      </x:c>
      <x:c r="H78" s="29" t="str">
        <x:v>audit/ui-tests.cjs の期限分類テーブルと同じ期待値</x:v>
      </x:c>
    </x:row>
    <x:row r="79" ht="34" customHeight="1">
      <x:c r="A79" s="29" t="str">
        <x:v>NON-LEAP-FEB</x:v>
      </x:c>
      <x:c r="B79" s="29" t="str">
        <x:v>2026-02-28 10:30:00.000</x:v>
      </x:c>
      <x:c r="C79" s="29" t="str">
        <x:v>土</x:v>
      </x:c>
      <x:c r="D79" s="29" t="str">
        <x:v>2026-03-01</x:v>
      </x:c>
      <x:c r="E79" s="29" t="str">
        <x:v>23:59</x:v>
      </x:c>
      <x:c r="F79" s="29" t="str">
        <x:v>明日まで</x:v>
      </x:c>
      <x:c r="G79" s="29" t="str">
        <x:v>平年の2月28日から3月1日</x:v>
      </x:c>
      <x:c r="H79" s="29" t="str">
        <x:v>audit/ui-tests.cjs の期限分類テーブルと同じ期待値</x:v>
      </x:c>
    </x:row>
    <x:row r="80" ht="34" customHeight="1">
      <x:c r="A80" s="29" t="str">
        <x:v>MONTH-END</x:v>
      </x:c>
      <x:c r="B80" s="29" t="str">
        <x:v>2026-10-31 10:30:00.000</x:v>
      </x:c>
      <x:c r="C80" s="29" t="str">
        <x:v>土</x:v>
      </x:c>
      <x:c r="D80" s="29" t="str">
        <x:v>2026-11-01</x:v>
      </x:c>
      <x:c r="E80" s="29" t="str">
        <x:v>23:59</x:v>
      </x:c>
      <x:c r="F80" s="29" t="str">
        <x:v>明日まで</x:v>
      </x:c>
      <x:c r="G80" s="29" t="str">
        <x:v>月末から翌月初日</x:v>
      </x:c>
      <x:c r="H80" s="29" t="str">
        <x:v>audit/ui-tests.cjs の期限分類テーブルと同じ期待値</x:v>
      </x:c>
    </x:row>
    <x:row r="81" ht="34" customHeight="1">
      <x:c r="A81" s="29" t="str">
        <x:v>YEAR-END</x:v>
      </x:c>
      <x:c r="B81" s="29" t="str">
        <x:v>2026-12-31 10:30:00.000</x:v>
      </x:c>
      <x:c r="C81" s="29" t="str">
        <x:v>木</x:v>
      </x:c>
      <x:c r="D81" s="29" t="str">
        <x:v>2027-01-01</x:v>
      </x:c>
      <x:c r="E81" s="29" t="str">
        <x:v>23:59</x:v>
      </x:c>
      <x:c r="F81" s="29" t="str">
        <x:v>明日まで</x:v>
      </x:c>
      <x:c r="G81" s="29" t="str">
        <x:v>年末から翌年初日</x:v>
      </x:c>
      <x:c r="H81" s="29" t="str">
        <x:v>audit/ui-tests.cjs の期限分類テーブルと同じ期待値</x:v>
      </x:c>
    </x:row>
    <x:row r="82" ht="34" customHeight="1">
      <x:c r="A82" s="29" t="str">
        <x:v>YEAR-WEEK-BOUNDARY</x:v>
      </x:c>
      <x:c r="B82" s="29" t="str">
        <x:v>2026-12-31 10:30:00.000</x:v>
      </x:c>
      <x:c r="C82" s="29" t="str">
        <x:v>木</x:v>
      </x:c>
      <x:c r="D82" s="29" t="str">
        <x:v>2027-01-04</x:v>
      </x:c>
      <x:c r="E82" s="29" t="str">
        <x:v>23:59</x:v>
      </x:c>
      <x:c r="F82" s="29" t="str">
        <x:v>来週以降</x:v>
      </x:c>
      <x:c r="G82" s="29" t="str">
        <x:v>年越し後の次の月曜日は来週以降</x:v>
      </x:c>
      <x:c r="H82" s="29" t="str">
        <x:v>audit/ui-tests.cjs の期限分類テーブルと同じ期待値</x:v>
      </x:c>
    </x:row>
    <x:row r="83" ht="34" customHeight="1">
      <x:c r="A83" s="29" t="str">
        <x:v>INVALID-DATE</x:v>
      </x:c>
      <x:c r="B83" s="29" t="str">
        <x:v>2026-10-08 10:30:00.000</x:v>
      </x:c>
      <x:c r="C83" s="29" t="str">
        <x:v>木</x:v>
      </x:c>
      <x:c r="D83" s="29" t="str">
        <x:v>2026-02-31</x:v>
      </x:c>
      <x:c r="E83" s="29" t="str">
        <x:v>23:59</x:v>
      </x:c>
      <x:c r="F83" s="29" t="str">
        <x:v>期限未検出</x:v>
      </x:c>
      <x:c r="G83" s="29" t="str">
        <x:v>存在しない日付を未知にする</x:v>
      </x:c>
      <x:c r="H83" s="29" t="str">
        <x:v>audit/ui-tests.cjs の期限分類テーブルと同じ期待値</x:v>
      </x:c>
    </x:row>
    <x:row r="84" ht="34" customHeight="1">
      <x:c r="A84" s="29" t="str">
        <x:v>INVALID-FORMAT</x:v>
      </x:c>
      <x:c r="B84" s="29" t="str">
        <x:v>2026-10-08 10:30:00.000</x:v>
      </x:c>
      <x:c r="C84" s="29" t="str">
        <x:v>木</x:v>
      </x:c>
      <x:c r="D84" s="29" t="str">
        <x:v>2026/10/09</x:v>
      </x:c>
      <x:c r="E84" s="29" t="str">
        <x:v>23:59</x:v>
      </x:c>
      <x:c r="F84" s="29" t="str">
        <x:v>期限未検出</x:v>
      </x:c>
      <x:c r="G84" s="29" t="str">
        <x:v>日付書式不正を未知にする</x:v>
      </x:c>
      <x:c r="H84" s="29" t="str">
        <x:v>audit/ui-tests.cjs の期限分類テーブルと同じ期待値</x:v>
      </x:c>
    </x:row>
    <x:row r="85" ht="34" customHeight="1">
      <x:c r="A85" s="29" t="str">
        <x:v>MISSING-DATE</x:v>
      </x:c>
      <x:c r="B85" s="29" t="str">
        <x:v>2026-10-08 10:30:00.000</x:v>
      </x:c>
      <x:c r="C85" s="29" t="str">
        <x:v>木</x:v>
      </x:c>
      <x:c r="D85" s="29" t="str">
        <x:v>（日付なし）</x:v>
      </x:c>
      <x:c r="E85" s="29" t="str">
        <x:v>（時刻なし／23:59扱い）</x:v>
      </x:c>
      <x:c r="F85" s="29" t="str">
        <x:v>期限未検出</x:v>
      </x:c>
      <x:c r="G85" s="29" t="str">
        <x:v>締切日欠落を未知にする</x:v>
      </x:c>
      <x:c r="H85" s="29" t="str">
        <x:v>audit/ui-tests.cjs の期限分類テーブルと同じ期待値</x:v>
      </x:c>
    </x:row>
    <x:row r="86" ht="34" customHeight="1">
      <x:c r="A86" s="29" t="str">
        <x:v>UNKNOWN-DUE</x:v>
      </x:c>
      <x:c r="B86" s="29" t="str">
        <x:v>2026-10-08 10:30:00.000</x:v>
      </x:c>
      <x:c r="C86" s="29" t="str">
        <x:v>木</x:v>
      </x:c>
      <x:c r="D86" s="29" t="str">
        <x:v>2026-10-09</x:v>
      </x:c>
      <x:c r="E86" s="29" t="str">
        <x:v>23:59</x:v>
      </x:c>
      <x:c r="F86" s="29" t="str">
        <x:v>期限未検出</x:v>
      </x:c>
      <x:c r="G86" s="29" t="str">
        <x:v>未検出状態の誤分類を防ぐ</x:v>
      </x:c>
      <x:c r="H86" s="29" t="str">
        <x:v>audit/ui-tests.cjs の期限分類テーブルと同じ期待値</x:v>
      </x:c>
    </x:row>
    <x:row r="87" ht="34" customHeight="1">
      <x:c r="A87" s="29" t="str">
        <x:v>NO-DEADLINE</x:v>
      </x:c>
      <x:c r="B87" s="29" t="str">
        <x:v>2026-10-08 10:30:00.000</x:v>
      </x:c>
      <x:c r="C87" s="29" t="str">
        <x:v>木</x:v>
      </x:c>
      <x:c r="D87" s="29" t="str">
        <x:v>2026-10-08</x:v>
      </x:c>
      <x:c r="E87" s="29" t="str">
        <x:v>12:00</x:v>
      </x:c>
      <x:c r="F87" s="29" t="str">
        <x:v>期限なし</x:v>
      </x:c>
      <x:c r="G87" s="29" t="str">
        <x:v>期限なし状態を維持</x:v>
      </x:c>
      <x:c r="H87" s="29" t="str">
        <x:v>audit/ui-tests.cjs の期限分類テーブルと同じ期待値</x:v>
      </x:c>
    </x:row>
    <x:row r="88" ht="34" customHeight="1">
      <x:c r="A88" s="29" t="str">
        <x:v>INVALID-TIME</x:v>
      </x:c>
      <x:c r="B88" s="29" t="str">
        <x:v>2026-10-08 23:59:59.999</x:v>
      </x:c>
      <x:c r="C88" s="29" t="str">
        <x:v>木</x:v>
      </x:c>
      <x:c r="D88" s="29" t="str">
        <x:v>2026-10-08</x:v>
      </x:c>
      <x:c r="E88" s="29" t="str">
        <x:v>xx:yy</x:v>
      </x:c>
      <x:c r="F88" s="29" t="str">
        <x:v>今日まで</x:v>
      </x:c>
      <x:c r="G88" s="29" t="str">
        <x:v>不正な時刻は日付のみと同じ23:59扱い</x:v>
      </x:c>
      <x:c r="H88" s="29" t="str">
        <x:v>audit/ui-tests.cjs の期限分類テーブルと同じ期待値</x:v>
      </x:c>
    </x:row>
    <x:row r="89" ht="34" customHeight="1">
      <x:c r="A89" s="29" t="str">
        <x:v>OUT-OF-RANGE-TIME</x:v>
      </x:c>
      <x:c r="B89" s="29" t="str">
        <x:v>2026-10-08 23:59:59.999</x:v>
      </x:c>
      <x:c r="C89" s="29" t="str">
        <x:v>木</x:v>
      </x:c>
      <x:c r="D89" s="29" t="str">
        <x:v>2026-10-08</x:v>
      </x:c>
      <x:c r="E89" s="29" t="str">
        <x:v>24:00</x:v>
      </x:c>
      <x:c r="F89" s="29" t="str">
        <x:v>今日まで</x:v>
      </x:c>
      <x:c r="G89" s="29" t="str">
        <x:v>範囲外の時刻を日付のみと同じ23:59扱い</x:v>
      </x:c>
      <x:c r="H89" s="29" t="str">
        <x:v>audit/ui-tests.cjs の期限分類テーブルと同じ期待値</x:v>
      </x:c>
    </x:row>
    <x:row r="90" ht="34" customHeight="1">
      <x:c r="A90" s="29" t="str">
        <x:v>SORT-WITHIN-GROUP</x:v>
      </x:c>
      <x:c r="B90" s="29" t="str">
        <x:v>2026-10-08 08:00:00.000</x:v>
      </x:c>
      <x:c r="C90" s="29" t="str">
        <x:v>木</x:v>
      </x:c>
      <x:c r="D90" s="29" t="str">
        <x:v>2026-10-08</x:v>
      </x:c>
      <x:c r="E90" s="29" t="str">
        <x:v>09:00／12:30／23:59</x:v>
      </x:c>
      <x:c r="F90" s="29" t="str">
        <x:v>今日まで（期限昇順）</x:v>
      </x:c>
      <x:c r="G90" s="29" t="str">
        <x:v>同じ分類内の締切時刻を並べ替え、別分類へ移さない</x:v>
      </x:c>
      <x:c r="H90" s="29" t="str">
        <x:v>画面テストで early → middle → late の順序を検証</x:v>
      </x:c>
    </x:row>
    <x:row r="91" ht="34" customHeight="1">
      <x:c r="A91" s="52" t="str">
        <x:v>PRESET-SATURDAY-SUNDAY</x:v>
      </x:c>
      <x:c r="B91" s="52" t="str">
        <x:v>2026-12-26 09:00:00.000</x:v>
      </x:c>
      <x:c r="C91" s="52" t="str">
        <x:v>土</x:v>
      </x:c>
      <x:c r="D91" s="52" t="str">
        <x:v>2026-12-27</x:v>
      </x:c>
      <x:c r="E91" s="52" t="str">
        <x:v>23:59</x:v>
      </x:c>
      <x:c r="F91" s="52" t="str">
        <x:v>明日まで</x:v>
      </x:c>
      <x:c r="G91" s="52" t="str">
        <x:v>選択日時：土曜。日曜期限は明日</x:v>
      </x:c>
      <x:c r="H91" s="52" t="str">
        <x:v>audit/deadline-cases.cjs と audit/ui-tests.cjs の期待値を共有</x:v>
      </x:c>
    </x:row>
    <x:row r="92" ht="34" customHeight="1">
      <x:c r="A92" s="52" t="str">
        <x:v>PRESET-SATURDAY-MONDAY</x:v>
      </x:c>
      <x:c r="B92" s="52" t="str">
        <x:v>2026-12-26 09:00:00.000</x:v>
      </x:c>
      <x:c r="C92" s="52" t="str">
        <x:v>土</x:v>
      </x:c>
      <x:c r="D92" s="52" t="str">
        <x:v>2026-12-28</x:v>
      </x:c>
      <x:c r="E92" s="52" t="str">
        <x:v>23:59</x:v>
      </x:c>
      <x:c r="F92" s="52" t="str">
        <x:v>来週以降</x:v>
      </x:c>
      <x:c r="G92" s="52" t="str">
        <x:v>選択日時：土曜。翌週月曜期限は来週以降</x:v>
      </x:c>
      <x:c r="H92" s="52" t="str">
        <x:v>audit/deadline-cases.cjs と audit/ui-tests.cjs の期待値を共有</x:v>
      </x:c>
    </x:row>
    <x:row r="93" ht="34" customHeight="1">
      <x:c r="A93" s="52" t="str">
        <x:v>PRESET-SUNDAY-MONDAY</x:v>
      </x:c>
      <x:c r="B93" s="52" t="str">
        <x:v>2026-12-27 23:58:00.000</x:v>
      </x:c>
      <x:c r="C93" s="52" t="str">
        <x:v>日</x:v>
      </x:c>
      <x:c r="D93" s="52" t="str">
        <x:v>2026-12-28</x:v>
      </x:c>
      <x:c r="E93" s="52" t="str">
        <x:v>23:59</x:v>
      </x:c>
      <x:c r="F93" s="52" t="str">
        <x:v>明日まで</x:v>
      </x:c>
      <x:c r="G93" s="52" t="str">
        <x:v>選択日時：日曜。翌月曜期限は明日</x:v>
      </x:c>
      <x:c r="H93" s="52" t="str">
        <x:v>audit/deadline-cases.cjs と audit/ui-tests.cjs の期待値を共有</x:v>
      </x:c>
    </x:row>
    <x:row r="94" ht="34" customHeight="1">
      <x:c r="A94" s="52" t="str">
        <x:v>PRESET-WEEKDAY-SUNDAY</x:v>
      </x:c>
      <x:c r="B94" s="52" t="str">
        <x:v>2026-12-29 10:30:00.000</x:v>
      </x:c>
      <x:c r="C94" s="52" t="str">
        <x:v>火</x:v>
      </x:c>
      <x:c r="D94" s="52" t="str">
        <x:v>2027-01-03</x:v>
      </x:c>
      <x:c r="E94" s="52" t="str">
        <x:v>23:59</x:v>
      </x:c>
      <x:c r="F94" s="52" t="str">
        <x:v>今週中</x:v>
      </x:c>
      <x:c r="G94" s="52" t="str">
        <x:v>選択日時：平日。年越し後の日曜期限は今週中</x:v>
      </x:c>
      <x:c r="H94" s="52" t="str">
        <x:v>audit/deadline-cases.cjs と audit/ui-tests.cjs の期待値を共有</x:v>
      </x:c>
    </x:row>
    <x:row r="95" ht="34" customHeight="1">
      <x:c r="A95" s="52" t="str">
        <x:v>YEAR-END-MIDNIGHT-NORMALIZED</x:v>
      </x:c>
      <x:c r="B95" s="52" t="str">
        <x:v>2026-12-31 23:58:00.000</x:v>
      </x:c>
      <x:c r="C95" s="52" t="str">
        <x:v>木</x:v>
      </x:c>
      <x:c r="D95" s="52" t="str">
        <x:v>2026-12-31</x:v>
      </x:c>
      <x:c r="E95" s="52" t="str">
        <x:v>23:59</x:v>
      </x:c>
      <x:c r="F95" s="52" t="str">
        <x:v>今日まで</x:v>
      </x:c>
      <x:c r="G95" s="52" t="str">
        <x:v>選択日時：年末23:58。翌年1/1 0:00期限を前年23:59へ補正</x:v>
      </x:c>
      <x:c r="H95" s="52" t="str">
        <x:v>audit/deadline-cases.cjs と audit/ui-tests.cjs の期待値を共有</x:v>
      </x:c>
    </x:row>
    <x:row r="96" ht="34" customHeight="1">
      <x:c r="A96" s="52" t="str">
        <x:v>YEAR-END-MIDNIGHT-LAST-MILLISECOND</x:v>
      </x:c>
      <x:c r="B96" s="52" t="str">
        <x:v>2026-12-31 23:59:59.999</x:v>
      </x:c>
      <x:c r="C96" s="52" t="str">
        <x:v>木</x:v>
      </x:c>
      <x:c r="D96" s="52" t="str">
        <x:v>2026-12-31</x:v>
      </x:c>
      <x:c r="E96" s="52" t="str">
        <x:v>23:59</x:v>
      </x:c>
      <x:c r="F96" s="52" t="str">
        <x:v>今日まで</x:v>
      </x:c>
      <x:c r="G96" s="52" t="str">
        <x:v>年末の補正済み0:00期限は23:59分の最終ミリ秒まで有効</x:v>
      </x:c>
      <x:c r="H96" s="52" t="str">
        <x:v>audit/deadline-cases.cjs と audit/ui-tests.cjs の期待値を共有</x:v>
      </x:c>
    </x:row>
    <x:row r="97" ht="34" customHeight="1">
      <x:c r="A97" s="52" t="str">
        <x:v>NEW-YEAR-MIDNIGHT-EXPIRED</x:v>
      </x:c>
      <x:c r="B97" s="52" t="str">
        <x:v>2027-01-01 00:00:00.000</x:v>
      </x:c>
      <x:c r="C97" s="52" t="str">
        <x:v>金</x:v>
      </x:c>
      <x:c r="D97" s="52" t="str">
        <x:v>2026-12-31</x:v>
      </x:c>
      <x:c r="E97" s="52" t="str">
        <x:v>23:59</x:v>
      </x:c>
      <x:c r="F97" s="52" t="str">
        <x:v>期限切れ</x:v>
      </x:c>
      <x:c r="G97" s="52" t="str">
        <x:v>年明け00:00に前年23:59期限が切れる</x:v>
      </x:c>
      <x:c r="H97" s="52" t="str">
        <x:v>audit/deadline-cases.cjs と audit/ui-tests.cjs の期待値を共有</x:v>
      </x:c>
    </x:row>
    <x:row r="98" ht="34" customHeight="1">
      <x:c r="A98" s="52" t="str">
        <x:v>NEW-YEAR-DATE-ONLY</x:v>
      </x:c>
      <x:c r="B98" s="52" t="str">
        <x:v>2027-01-01 00:01:00.000</x:v>
      </x:c>
      <x:c r="C98" s="52" t="str">
        <x:v>金</x:v>
      </x:c>
      <x:c r="D98" s="52" t="str">
        <x:v>2027-01-01</x:v>
      </x:c>
      <x:c r="E98" s="52" t="str">
        <x:v>（時刻なし／23:59扱い）</x:v>
      </x:c>
      <x:c r="F98" s="52" t="str">
        <x:v>今日まで</x:v>
      </x:c>
      <x:c r="G98" s="52" t="str">
        <x:v>年明けの日付だけの期限は当日末まで有効</x:v>
      </x:c>
      <x:c r="H98" s="52" t="str">
        <x:v>audit/deadline-cases.cjs と audit/ui-tests.cjs の期待値を共有</x:v>
      </x:c>
    </x:row>
    <x:row r="99" ht="34" customHeight="1">
      <x:c r="A99" s="52" t="str">
        <x:v>PRESET-MONTH-END-MAY-1</x:v>
      </x:c>
      <x:c r="B99" s="52" t="str">
        <x:v>2027-04-30 09:00:00.000</x:v>
      </x:c>
      <x:c r="C99" s="52" t="str">
        <x:v>金</x:v>
      </x:c>
      <x:c r="D99" s="52" t="str">
        <x:v>2027-05-01</x:v>
      </x:c>
      <x:c r="E99" s="52" t="str">
        <x:v>23:59</x:v>
      </x:c>
      <x:c r="F99" s="52" t="str">
        <x:v>明日まで</x:v>
      </x:c>
      <x:c r="G99" s="52" t="str">
        <x:v>選択日時：月末。翌月1日は明日</x:v>
      </x:c>
      <x:c r="H99" s="52" t="str">
        <x:v>audit/deadline-cases.cjs と audit/ui-tests.cjs の期待値を共有</x:v>
      </x:c>
    </x:row>
    <x:row r="100" ht="34" customHeight="1">
      <x:c r="A100" s="52" t="str">
        <x:v>PRESET-MONTH-END-MAY-2</x:v>
      </x:c>
      <x:c r="B100" s="52" t="str">
        <x:v>2027-04-30 09:00:00.000</x:v>
      </x:c>
      <x:c r="C100" s="52" t="str">
        <x:v>金</x:v>
      </x:c>
      <x:c r="D100" s="52" t="str">
        <x:v>2027-05-02</x:v>
      </x:c>
      <x:c r="E100" s="52" t="str">
        <x:v>23:59</x:v>
      </x:c>
      <x:c r="F100" s="52" t="str">
        <x:v>今週中</x:v>
      </x:c>
      <x:c r="G100" s="52" t="str">
        <x:v>選択日時：月末。日曜の翌月2日は今週中</x:v>
      </x:c>
      <x:c r="H100" s="52" t="str">
        <x:v>audit/deadline-cases.cjs と audit/ui-tests.cjs の期待値を共有</x:v>
      </x:c>
    </x:row>
    <x:row r="101" ht="34" customHeight="1">
      <x:c r="A101" s="52" t="str">
        <x:v>PRESET-MONTH-END-MAY-3</x:v>
      </x:c>
      <x:c r="B101" s="52" t="str">
        <x:v>2027-04-30 09:00:00.000</x:v>
      </x:c>
      <x:c r="C101" s="52" t="str">
        <x:v>金</x:v>
      </x:c>
      <x:c r="D101" s="52" t="str">
        <x:v>2027-05-03</x:v>
      </x:c>
      <x:c r="E101" s="52" t="str">
        <x:v>23:59</x:v>
      </x:c>
      <x:c r="F101" s="52" t="str">
        <x:v>来週以降</x:v>
      </x:c>
      <x:c r="G101" s="52" t="str">
        <x:v>選択日時：月末。翌週月曜3日は来週以降</x:v>
      </x:c>
      <x:c r="H101" s="52" t="str">
        <x:v>audit/deadline-cases.cjs と audit/ui-tests.cjs の期待値を共有</x:v>
      </x:c>
    </x:row>
    <x:row r="102" ht="34" customHeight="1">
      <x:c r="A102" s="52" t="str">
        <x:v>PRESET-NON-LEAP-MARCH-1</x:v>
      </x:c>
      <x:c r="B102" s="52" t="str">
        <x:v>2027-02-28 09:00:00.000</x:v>
      </x:c>
      <x:c r="C102" s="52" t="str">
        <x:v>日</x:v>
      </x:c>
      <x:c r="D102" s="52" t="str">
        <x:v>2027-03-01</x:v>
      </x:c>
      <x:c r="E102" s="52" t="str">
        <x:v>23:59</x:v>
      </x:c>
      <x:c r="F102" s="52" t="str">
        <x:v>明日まで</x:v>
      </x:c>
      <x:c r="G102" s="52" t="str">
        <x:v>平年2/28（日）から3/1（月）</x:v>
      </x:c>
      <x:c r="H102" s="52" t="str">
        <x:v>audit/deadline-cases.cjs と audit/ui-tests.cjs の期待値を共有</x:v>
      </x:c>
    </x:row>
    <x:row r="103" ht="34" customHeight="1">
      <x:c r="A103" s="52" t="str">
        <x:v>PRESET-INVALID-NON-LEAP-FEB-29</x:v>
      </x:c>
      <x:c r="B103" s="52" t="str">
        <x:v>2027-02-28 09:00:00.000</x:v>
      </x:c>
      <x:c r="C103" s="52" t="str">
        <x:v>日</x:v>
      </x:c>
      <x:c r="D103" s="52" t="str">
        <x:v>2027-02-29</x:v>
      </x:c>
      <x:c r="E103" s="52" t="str">
        <x:v>23:59</x:v>
      </x:c>
      <x:c r="F103" s="52" t="str">
        <x:v>期限未検出</x:v>
      </x:c>
      <x:c r="G103" s="52" t="str">
        <x:v>平年の存在しない2/29を未知日にする</x:v>
      </x:c>
      <x:c r="H103" s="52" t="str">
        <x:v>audit/deadline-cases.cjs と audit/ui-tests.cjs の期待値を共有</x:v>
      </x:c>
    </x:row>
    <x:row r="104" ht="34" customHeight="1">
      <x:c r="A104" s="52" t="str">
        <x:v>PRESET-LEAP-EVE-FEB-29</x:v>
      </x:c>
      <x:c r="B104" s="52" t="str">
        <x:v>2028-02-28 09:00:00.000</x:v>
      </x:c>
      <x:c r="C104" s="52" t="str">
        <x:v>月</x:v>
      </x:c>
      <x:c r="D104" s="52" t="str">
        <x:v>2028-02-29</x:v>
      </x:c>
      <x:c r="E104" s="52" t="str">
        <x:v>23:59</x:v>
      </x:c>
      <x:c r="F104" s="52" t="str">
        <x:v>明日まで</x:v>
      </x:c>
      <x:c r="G104" s="52" t="str">
        <x:v>選択日時：閏日前日。2/29は明日</x:v>
      </x:c>
      <x:c r="H104" s="52" t="str">
        <x:v>audit/deadline-cases.cjs と audit/ui-tests.cjs の期待値を共有</x:v>
      </x:c>
    </x:row>
    <x:row r="105" ht="34" customHeight="1">
      <x:c r="A105" s="52" t="str">
        <x:v>PRESET-LEAP-EVE-MARCH-1</x:v>
      </x:c>
      <x:c r="B105" s="52" t="str">
        <x:v>2028-02-28 09:00:00.000</x:v>
      </x:c>
      <x:c r="C105" s="52" t="str">
        <x:v>月</x:v>
      </x:c>
      <x:c r="D105" s="52" t="str">
        <x:v>2028-03-01</x:v>
      </x:c>
      <x:c r="E105" s="52" t="str">
        <x:v>23:59</x:v>
      </x:c>
      <x:c r="F105" s="52" t="str">
        <x:v>今週中</x:v>
      </x:c>
      <x:c r="G105" s="52" t="str">
        <x:v>選択日時：閏日前日。3/1は今週中</x:v>
      </x:c>
      <x:c r="H105" s="52" t="str">
        <x:v>audit/deadline-cases.cjs と audit/ui-tests.cjs の期待値を共有</x:v>
      </x:c>
    </x:row>
    <x:row r="106" ht="34" customHeight="1">
      <x:c r="A106" s="52" t="str">
        <x:v>PRESET-LEAP-DAY-MARCH-1</x:v>
      </x:c>
      <x:c r="B106" s="52" t="str">
        <x:v>2028-02-29 09:00:00.000</x:v>
      </x:c>
      <x:c r="C106" s="52" t="str">
        <x:v>火</x:v>
      </x:c>
      <x:c r="D106" s="52" t="str">
        <x:v>2028-03-01</x:v>
      </x:c>
      <x:c r="E106" s="52" t="str">
        <x:v>23:59</x:v>
      </x:c>
      <x:c r="F106" s="52" t="str">
        <x:v>明日まで</x:v>
      </x:c>
      <x:c r="G106" s="52" t="str">
        <x:v>選択日時：閏日当日。3/1は明日</x:v>
      </x:c>
      <x:c r="H106" s="52" t="str">
        <x:v>audit/deadline-cases.cjs と audit/ui-tests.cjs の期待値を共有</x:v>
      </x:c>
    </x:row>
    <x:row r="107" ht="34" customHeight="1">
      <x:c r="A107" s="52" t="str">
        <x:v>PRESET-JST-UTC-BOUNDARY</x:v>
      </x:c>
      <x:c r="B107" s="52" t="str">
        <x:v>2027-01-01 00:05:00.000</x:v>
      </x:c>
      <x:c r="C107" s="52" t="str">
        <x:v>金</x:v>
      </x:c>
      <x:c r="D107" s="52" t="str">
        <x:v>2027-01-01</x:v>
      </x:c>
      <x:c r="E107" s="52" t="str">
        <x:v>00:04</x:v>
      </x:c>
      <x:c r="F107" s="52" t="str">
        <x:v>期限切れ</x:v>
      </x:c>
      <x:c r="G107" s="52" t="str">
        <x:v>JST 1/1 00:05（UTC 12/31 15:05）で00:04期限切れ</x:v>
      </x:c>
      <x:c r="H107" s="52" t="str">
        <x:v>audit/deadline-cases.cjs と audit/ui-tests.cjs の期待値を共有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58" hidden="0" customWidth="1"/>
    <x:col min="3" max="3" width="54" hidden="0" customWidth="1"/>
    <x:col min="4" max="4" width="54" hidden="0" customWidth="1"/>
    <x:col min="5" max="5" width="48" hidden="0" customWidth="1"/>
    <x:col min="6" max="6" width="18" hidden="0" customWidth="1"/>
  </x:cols>
  <x:sheetData>
    <x:row r="1">
      <x:c r="A1" s="26" t="str">
        <x:v>修正番号</x:v>
      </x:c>
      <x:c r="B1" s="26" t="str">
        <x:v>GitHub記載の仕様・修正</x:v>
      </x:c>
      <x:c r="C1" s="26" t="str">
        <x:v>デバッグ入力／境界</x:v>
      </x:c>
      <x:c r="D1" s="26" t="str">
        <x:v>期待結果</x:v>
      </x:c>
      <x:c r="E1" s="26" t="str">
        <x:v>自動確認先</x:v>
      </x:c>
      <x:c r="F1" s="26" t="str">
        <x:v>範囲</x:v>
      </x:c>
    </x:row>
    <x:row r="2" ht="48" customHeight="1">
      <x:c r="A2" s="29" t="str">
        <x:v>1</x:v>
      </x:c>
      <x:c r="B2" s="29" t="str">
        <x:v>ロック競合を避け、読み取りでシートを書き戻さない</x:v>
      </x:c>
      <x:c r="C2" s="29" t="str">
        <x:v>並行読み書き・例外時のロック解放</x:v>
      </x:c>
      <x:c r="D2" s="29" t="str">
        <x:v>読み書きが直列化され、変更のない読取で行データを更新しない</x:v>
      </x:c>
      <x:c r="E2" s="29" t="str">
        <x:v>audit/server-tests.cjs</x:v>
      </x:c>
      <x:c r="F2" s="29" t="str">
        <x:v>モック回帰</x:v>
      </x:c>
    </x:row>
    <x:row r="3" ht="48" customHeight="1">
      <x:c r="A3" s="29" t="str">
        <x:v>2</x:v>
      </x:c>
      <x:c r="B3" s="29" t="str">
        <x:v>inCampus提出を授業・課題名・曜日時限で厳密照合し、再処理で誤完了しない</x:v>
      </x:c>
      <x:c r="C3" s="29" t="str">
        <x:v>部分一致、同名別授業、提出の重複と取消</x:v>
      </x:c>
      <x:c r="D3" s="29" t="str">
        <x:v>厳密一致だけ完了。イベント再処理後も手動取消を維持</x:v>
      </x:c>
      <x:c r="E3" s="29" t="str">
        <x:v>audit/server-tests.cjs, テストメール</x:v>
      </x:c>
      <x:c r="F3" s="29" t="str">
        <x:v>GAS実コード</x:v>
      </x:c>
    </x:row>
    <x:row r="4" ht="48" customHeight="1">
      <x:c r="A4" s="29" t="str">
        <x:v>3</x:v>
      </x:c>
      <x:c r="B4" s="29" t="str">
        <x:v>Classroomの新規課題のみ照合し、重複対象は全件更新</x:v>
      </x:c>
      <x:c r="C4" s="29" t="str">
        <x:v>返却メールと同じ課題URL、重複通知</x:v>
      </x:c>
      <x:c r="D4" s="29" t="str">
        <x:v>返却通知は不変。新規課題通知は全件更新</x:v>
      </x:c>
      <x:c r="E4" s="29" t="str">
        <x:v>audit/server-tests.cjs, テストメール</x:v>
      </x:c>
      <x:c r="F4" s="29" t="str">
        <x:v>GAS実コード</x:v>
      </x:c>
    </x:row>
    <x:row r="5" ht="48" customHeight="1">
      <x:c r="A5" s="29" t="str">
        <x:v>4</x:v>
      </x:c>
      <x:c r="B5" s="29" t="str">
        <x:v>時刻付き0:00は前日23:59。日付だけなら同日23:59</x:v>
      </x:c>
      <x:c r="C5" s="29" t="str">
        <x:v>月末・年末・閏日・日付だけ・明日0:00</x:v>
      </x:c>
      <x:c r="D5" s="29" t="str">
        <x:v>保存値を壊さず表示と期限判定を一致</x:v>
      </x:c>
      <x:c r="E5" s="29" t="str">
        <x:v>audit/server-tests.cjs, audit/extension-tests.cjs, テストメール</x:v>
      </x:c>
      <x:c r="F5" s="29" t="str">
        <x:v>GAS・拡張</x:v>
      </x:c>
    </x:row>
    <x:row r="6" ht="48" customHeight="1">
      <x:c r="A6" s="29" t="str">
        <x:v>5</x:v>
      </x:c>
      <x:c r="B6" s="29" t="str">
        <x:v>1通の複数更新を課題単位に分け、同じ課題の追加＋更新は統合</x:v>
      </x:c>
      <x:c r="C6" s="29" t="str">
        <x:v>複数授業・複数課題・入れ子括弧・同一課題重複</x:v>
      </x:c>
      <x:c r="D6" s="29" t="str">
        <x:v>別課題を保持し、同じ課題だけ統合。元メールは不変</x:v>
      </x:c>
      <x:c r="E6" s="29" t="str">
        <x:v>audit/server-tests.cjs, テストメール</x:v>
      </x:c>
      <x:c r="F6" s="29" t="str">
        <x:v>GAS実コード</x:v>
      </x:c>
    </x:row>
    <x:row r="7" ht="48" customHeight="1">
      <x:c r="A7" s="29" t="str">
        <x:v>6</x:v>
      </x:c>
      <x:c r="B7" s="29" t="str">
        <x:v>新しい締切日は優先し、日付なしなら保存済み日付を保持</x:v>
      </x:c>
      <x:c r="C7" s="29" t="str">
        <x:v>延長期限・時刻だけ・欠損日付</x:v>
      </x:c>
      <x:c r="D7" s="29" t="str">
        <x:v>新しい日付を保存し、欠けた日付を空で上書きしない</x:v>
      </x:c>
      <x:c r="E7" s="29" t="str">
        <x:v>audit/server-tests.cjs, audit/extension-tests.cjs</x:v>
      </x:c>
      <x:c r="F7" s="29" t="str">
        <x:v>GAS・拡張</x:v>
      </x:c>
    </x:row>
    <x:row r="8" ht="48" customHeight="1">
      <x:c r="A8" s="29" t="str">
        <x:v>7</x:v>
      </x:c>
      <x:c r="B8" s="29" t="str">
        <x:v>一行形式の更新内容の仕様は変更対象外</x:v>
      </x:c>
      <x:c r="C8" s="29" t="str">
        <x:v>ユーザー指定による除外</x:v>
      </x:c>
      <x:c r="D8" s="29" t="str">
        <x:v>既存挙動を維持</x:v>
      </x:c>
      <x:c r="E8" s="29" t="str">
        <x:v>audit/server-tests.cjs</x:v>
      </x:c>
      <x:c r="F8" s="29" t="str">
        <x:v>変更対象外</x:v>
      </x:c>
    </x:row>
    <x:row r="9" ht="48" customHeight="1">
      <x:c r="A9" s="29" t="str">
        <x:v>8</x:v>
      </x:c>
      <x:c r="B9" s="29" t="str">
        <x:v>同一授業URLのお知らせを更新IDごとに独立保存</x:v>
      </x:c>
      <x:c r="C9" s="29" t="str">
        <x:v>同じ授業URL・異なる更新ID</x:v>
      </x:c>
      <x:c r="D9" s="29" t="str">
        <x:v>別のお知らせとして保持</x:v>
      </x:c>
      <x:c r="E9" s="29" t="str">
        <x:v>audit/server-tests.cjs</x:v>
      </x:c>
      <x:c r="F9" s="29" t="str">
        <x:v>GAS実コード</x:v>
      </x:c>
    </x:row>
    <x:row r="10" ht="48" customHeight="1">
      <x:c r="A10" s="29" t="str">
        <x:v>9</x:v>
      </x:c>
      <x:c r="B10" s="29" t="str">
        <x:v>手動抽出で欠落する授業・曜日時限・更新・識別情報を保持</x:v>
      </x:c>
      <x:c r="C10" s="29" t="str">
        <x:v>既存記録を空項目で上書き</x:v>
      </x:c>
      <x:c r="D10" s="29" t="str">
        <x:v>既存値・完了状態を保持</x:v>
      </x:c>
      <x:c r="E10" s="29" t="str">
        <x:v>audit/server-tests.cjs</x:v>
      </x:c>
      <x:c r="F10" s="29" t="str">
        <x:v>GAS実コード</x:v>
      </x:c>
    </x:row>
    <x:row r="11" ht="48" customHeight="1">
      <x:c r="A11" s="29" t="str">
        <x:v>10</x:v>
      </x:c>
      <x:c r="B11" s="29" t="str">
        <x:v>Classroom同期を件数・本文サイズで分割し、失敗単位を残す</x:v>
      </x:c>
      <x:c r="C11" s="29" t="str">
        <x:v>201件、190000文字、途中失敗、巨大レコード</x:v>
      </x:c>
      <x:c r="D11" s="29" t="str">
        <x:v>後続バッチを処理し、成功・失敗・未一致を区別</x:v>
      </x:c>
      <x:c r="E11" s="29" t="str">
        <x:v>audit/extension-tests.cjs</x:v>
      </x:c>
      <x:c r="F11" s="29" t="str">
        <x:v>拡張実コード</x:v>
      </x:c>
    </x:row>
    <x:row r="12" ht="48" customHeight="1">
      <x:c r="A12" s="29" t="str">
        <x:v>11</x:v>
      </x:c>
      <x:c r="B12" s="29" t="str">
        <x:v>複数Googleアカウント維持は変更対象外</x:v>
      </x:c>
      <x:c r="C12" s="29" t="str">
        <x:v>テスト対象組織の制限という運用条件</x:v>
      </x:c>
      <x:c r="D12" s="29" t="str">
        <x:v>対象アカウントの仕様を変更しない</x:v>
      </x:c>
      <x:c r="E12" s="29" t="str">
        <x:v>audit/修正結果.md</x:v>
      </x:c>
      <x:c r="F12" s="29" t="str">
        <x:v>変更対象外</x:v>
      </x:c>
    </x:row>
    <x:row r="13" ht="48" customHeight="1">
      <x:c r="A13" s="29" t="str">
        <x:v>12</x:v>
      </x:c>
      <x:c r="B13" s="29" t="str">
        <x:v>一覧要求世代ごとに応答を分け、古い応答で別画面を上書きしない</x:v>
      </x:c>
      <x:c r="C13" s="29" t="str">
        <x:v>未完了・完了画面を逆順に応答</x:v>
      </x:c>
      <x:c r="D13" s="29" t="str">
        <x:v>現在画面と各キャッシュを維持</x:v>
      </x:c>
      <x:c r="E13" s="29" t="str">
        <x:v>audit/ui-tests.cjs</x:v>
      </x:c>
      <x:c r="F13" s="29" t="str">
        <x:v>画面実コード</x:v>
      </x:c>
    </x:row>
    <x:row r="14" ht="48" customHeight="1">
      <x:c r="A14" s="29" t="str">
        <x:v>13</x:v>
      </x:c>
      <x:c r="B14" s="29" t="str">
        <x:v>完了・取消・再完了を課題ごとに直列化</x:v>
      </x:c>
      <x:c r="C14" s="29" t="str">
        <x:v>応答逆順、取消後の再完了、通信失敗</x:v>
      </x:c>
      <x:c r="D14" s="29" t="str">
        <x:v>最後の操作を維持し、失敗は戻して再取得</x:v>
      </x:c>
      <x:c r="E14" s="29" t="str">
        <x:v>audit/ui-tests.cjs</x:v>
      </x:c>
      <x:c r="F14" s="29" t="str">
        <x:v>画面実コード</x:v>
      </x:c>
    </x:row>
    <x:row r="15" ht="48" customHeight="1">
      <x:c r="A15" s="29" t="str">
        <x:v>14</x:v>
      </x:c>
      <x:c r="B15" s="29" t="str">
        <x:v>プレビュー中は自動・手動とも送信と成功時刻更新をしない</x:v>
      </x:c>
      <x:c r="C15" s="29" t="str">
        <x:v>途中でプレビューON、接続設定なし</x:v>
      </x:c>
      <x:c r="D15" s="29" t="str">
        <x:v>POSTを止め、プレビュー結果を成功扱いしない</x:v>
      </x:c>
      <x:c r="E15" s="29" t="str">
        <x:v>audit/extension-tests.cjs</x:v>
      </x:c>
      <x:c r="F15" s="29" t="str">
        <x:v>拡張実コード</x:v>
      </x:c>
    </x:row>
    <x:row r="16" ht="48" customHeight="1">
      <x:c r="A16" s="29" t="str">
        <x:v>15</x:v>
      </x:c>
      <x:c r="B16" s="29" t="str">
        <x:v>裏読み先・読込状態・課題一覧を確認し、部分失敗を成功にしない</x:v>
      </x:c>
      <x:c r="C16" s="29" t="str">
        <x:v>空ページ・誤URL・遅延・区分途中失敗・明示的空状態</x:v>
      </x:c>
      <x:c r="D16" s="29" t="str">
        <x:v>完全ロードか明示的空状態だけ完了。失敗で成功時刻を進めない</x:v>
      </x:c>
      <x:c r="E16" s="29" t="str">
        <x:v>audit/extension-tests.cjs</x:v>
      </x:c>
      <x:c r="F16" s="29" t="str">
        <x:v>拡張実コード</x:v>
      </x:c>
    </x:row>
    <x:row r="17" ht="48" customHeight="1">
      <x:c r="A17" s="29" t="str">
        <x:v>README</x:v>
      </x:c>
      <x:c r="B17" s="29" t="str">
        <x:v>Gmail通知を基準に抽出補足を照合し、曖昧な候補では状態を変更しない</x:v>
      </x:c>
      <x:c r="C17" s="29" t="str">
        <x:v>同一メールの追加更新・同名・別授業・曖昧なURL</x:v>
      </x:c>
      <x:c r="D17" s="29" t="str">
        <x:v>二重表示・別課題への状態移動を防ぐ</x:v>
      </x:c>
      <x:c r="E17" s="29" t="str">
        <x:v>audit/server-tests.cjs, taskhub-split/taskhub-split/MAIL_LINKING.md</x:v>
      </x:c>
      <x:c r="F17" s="29" t="str">
        <x:v>GAS実コード</x:v>
      </x:c>
    </x:row>
    <x:row r="18" ht="48" customHeight="1">
      <x:c r="A18" s="29" t="str">
        <x:v>README</x:v>
      </x:c>
      <x:c r="B18" s="29" t="str">
        <x:v>期限グループ・期限なし・未検出・期限切れを正しく扱う</x:v>
      </x:c>
      <x:c r="C18" s="29" t="str">
        <x:v>全曜日×日付差63件、土日の特例、分境界、0時補正、日付のみ、閏日・月末・年越し、不正値、分類内ソート</x:v>
      </x:c>
      <x:c r="D18" s="29" t="str">
        <x:v>各境界を区別し、締切分の最終ミリ秒まで表示。欠損・不正値を実在日付に見せない</x:v>
      </x:c>
      <x:c r="E18" s="29" t="str">
        <x:v>期限境界, audit/ui-tests.cjs, audit/server-tests.cjs</x:v>
      </x:c>
      <x:c r="F18" s="29" t="str">
        <x:v>GAS・画面実コード</x:v>
      </x:c>
    </x:row>
    <x:row r="19" ht="48" customHeight="1">
      <x:c r="A19" s="29" t="str">
        <x:v>README</x:v>
      </x:c>
      <x:c r="B19" s="29" t="str">
        <x:v>API入力を制限し、認証・URL検証・数式入力を保護</x:v>
      </x:c>
      <x:c r="C19" s="29" t="str">
        <x:v>欠損／不正トークン、件数・本文上限、URL・式文字列</x:v>
      </x:c>
      <x:c r="D19" s="29" t="str">
        <x:v>無効入力を拒否または無害化し、許可範囲だけ書き込む</x:v>
      </x:c>
      <x:c r="E19" s="29" t="str">
        <x:v>audit/server-tests.cjs, audit/extension-tests.cjs</x:v>
      </x:c>
      <x:c r="F19" s="29" t="str">
        <x:v>ローカルモック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20" hidden="0" customWidth="1"/>
    <x:col min="3" max="3" width="20" hidden="0" customWidth="1"/>
    <x:col min="4" max="4" width="42" hidden="0" customWidth="1"/>
    <x:col min="5" max="5" width="48" hidden="0" customWidth="1"/>
    <x:col min="6" max="6" width="21" hidden="0" customWidth="1"/>
    <x:col min="7" max="7" width="24" hidden="0" customWidth="1"/>
    <x:col min="8" max="8" width="36" hidden="0" customWidth="1"/>
    <x:col min="9" max="9" width="28" hidden="0" customWidth="1"/>
    <x:col min="10" max="10" width="21" hidden="0" customWidth="1"/>
    <x:col min="11" max="11" width="44" hidden="0" customWidth="1"/>
    <x:col min="12" max="12" width="56" hidden="0" customWidth="1"/>
    <x:col min="13" max="13" width="18" hidden="0" customWidth="1"/>
    <x:col min="14" max="14" width="21" hidden="0" customWidth="1"/>
    <x:col min="15" max="15" width="24" hidden="0" customWidth="1"/>
    <x:col min="16" max="16" width="38" hidden="0" customWidth="1"/>
    <x:col min="17" max="17" width="24" hidden="0" customWidth="1"/>
    <x:col min="18" max="18" width="24" hidden="0" customWidth="1"/>
    <x:col min="19" max="19" width="24" hidden="0" customWidth="1"/>
    <x:col min="20" max="20" width="26" hidden="0" customWidth="1"/>
  </x:cols>
  <x:sheetData>
    <x:row r="1">
      <x:c r="A1" s="33" t="str">
        <x:v>保存日時</x:v>
      </x:c>
      <x:c r="B1" s="33" t="str">
        <x:v>メッセージID</x:v>
      </x:c>
      <x:c r="C1" s="33" t="str">
        <x:v>通知元</x:v>
      </x:c>
      <x:c r="D1" s="33" t="str">
        <x:v>授業名</x:v>
      </x:c>
      <x:c r="E1" s="33" t="str">
        <x:v>課題・通知タイトル</x:v>
      </x:c>
      <x:c r="F1" s="33" t="str">
        <x:v>期限</x:v>
      </x:c>
      <x:c r="G1" s="33" t="str">
        <x:v>期限状態</x:v>
      </x:c>
      <x:c r="H1" s="33" t="str">
        <x:v>メール件名</x:v>
      </x:c>
      <x:c r="I1" s="33" t="str">
        <x:v>送信者</x:v>
      </x:c>
      <x:c r="J1" s="33" t="str">
        <x:v>受信日時</x:v>
      </x:c>
      <x:c r="K1" s="33" t="str">
        <x:v>Gmailリンク</x:v>
      </x:c>
      <x:c r="L1" s="33" t="str">
        <x:v>本文</x:v>
      </x:c>
      <x:c r="M1" s="33" t="str">
        <x:v>確認状態</x:v>
      </x:c>
      <x:c r="N1" s="33" t="str">
        <x:v>完了日時</x:v>
      </x:c>
      <x:c r="O1" s="33" t="str">
        <x:v>更新レコード状態</x:v>
      </x:c>
      <x:c r="P1" s="33" t="str">
        <x:v>適用済み提出記録</x:v>
      </x:c>
      <x:c r="Q1" s="35" t="str">
        <x:v>テスト保存日時</x:v>
      </x:c>
      <x:c r="R1" s="35" t="str">
        <x:v>テスト受信日時</x:v>
      </x:c>
      <x:c r="S1" s="35" t="str">
        <x:v>テスト期限（保存値）</x:v>
      </x:c>
      <x:c r="T1" s="35" t="str">
        <x:v>テスト期限（アプリ表示）</x:v>
      </x:c>
    </x:row>
    <x:row r="2" ht="34" customHeight="1">
      <x:c r="A2" s="27" t="n">
        <x:v>46274</x:v>
      </x:c>
      <x:c r="B2" s="27" t="str">
        <x:v>SIM-CLASS-001</x:v>
      </x:c>
      <x:c r="C2" s="27" t="str">
        <x:v>Google Classroom</x:v>
      </x:c>
      <x:c r="D2" s="27" t="str">
        <x:v>仮想心理演習</x:v>
      </x:c>
      <x:c r="E2" s="27" t="str">
        <x:v>仮想課題-001</x:v>
      </x:c>
      <x:c r="F2" s="27" t="n">
        <x:v>46269.62430555555</x:v>
      </x:c>
      <x:c r="G2" s="27" t="str">
        <x:v>期限検出</x:v>
      </x:c>
      <x:c r="H2" s="27" t="str">
        <x:v>新しい課題: 仮想課題-001</x:v>
      </x:c>
      <x:c r="I2" s="27" t="str">
        <x:v>架空担当B &lt;fixture-001@example.invalid&gt;</x:v>
      </x:c>
      <x:c r="J2" s="27" t="n">
        <x:v>46274.041666666664</x:v>
      </x:c>
      <x:c r="K2" s="27" t="str">
        <x:v>https://mail.example.invalid/thread/SIM-CLASS-001</x:v>
      </x:c>
      <x:c r="L2" s="28" t="str">
        <x:v>仮想心理演習
架空担当B が新しい課題を投稿しました
仮想課題-001
提出期限：2026/09/04 23:59
詳細：https://courses.example.invalid/demo/SIM-CLASS-001</x:v>
      </x:c>
      <x:c r="M2" s="27" t="str">
        <x:v>未確認</x:v>
      </x:c>
      <x:c r="N2" s="27" t="str"/>
      <x:c r="O2" s="27" t="str"/>
      <x:c r="P2" s="27" t="str"/>
      <x:c r="Q2" s="36" t="n">
        <x:f>'テスト設定'!$B$2</x:f>
        <x:v>46298</x:v>
      </x:c>
      <x:c r="R2" s="36" t="n">
        <x:f>'テスト設定'!$B$2</x:f>
        <x:v>46298</x:v>
      </x:c>
      <x:c r="S2" s="36" t="n">
        <x:f>IF(F2="","",IF(ISNUMBER(F2),F2+'テスト設定'!$B$6,F2))</x:f>
        <x:v>46292.62430555555</x:v>
      </x:c>
      <x:c r="T2" s="36" t="n">
        <x:f>IF(S2="","",S2)</x:f>
        <x:v>46292.62430555555</x:v>
      </x:c>
    </x:row>
    <x:row r="3" ht="34" customHeight="1">
      <x:c r="A3" s="27" t="n">
        <x:v>46274.041666666664</x:v>
      </x:c>
      <x:c r="B3" s="27" t="str">
        <x:v>SIM-CLASS-002</x:v>
      </x:c>
      <x:c r="C3" s="27" t="str">
        <x:v>Google Classroom</x:v>
      </x:c>
      <x:c r="D3" s="27" t="str">
        <x:v>サンプル情報設計</x:v>
      </x:c>
      <x:c r="E3" s="27" t="str">
        <x:v>仮想課題-002</x:v>
      </x:c>
      <x:c r="F3" s="27" t="n">
        <x:v>46270.62430555555</x:v>
      </x:c>
      <x:c r="G3" s="27" t="str">
        <x:v>期限検出</x:v>
      </x:c>
      <x:c r="H3" s="27" t="str">
        <x:v>新しい課題: 仮想課題-002</x:v>
      </x:c>
      <x:c r="I3" s="27" t="str">
        <x:v>架空担当C &lt;fixture-002@example.invalid&gt;</x:v>
      </x:c>
      <x:c r="J3" s="27" t="n">
        <x:v>46274.083333333336</x:v>
      </x:c>
      <x:c r="K3" s="27" t="str">
        <x:v>https://mail.example.invalid/thread/SIM-CLASS-002</x:v>
      </x:c>
      <x:c r="L3" s="28" t="str">
        <x:v>サンプル情報設計
架空担当C が新しい課題を投稿しました
仮想課題-002
提出期限：2026/09/05 23:59
詳細：https://courses.example.invalid/demo/SIM-CLASS-002</x:v>
      </x:c>
      <x:c r="M3" s="27" t="str">
        <x:v>未確認</x:v>
      </x:c>
      <x:c r="N3" s="27" t="str"/>
      <x:c r="O3" s="27" t="str"/>
      <x:c r="P3" s="27" t="str"/>
      <x:c r="Q3" s="36" t="n">
        <x:f>'テスト設定'!$B$2</x:f>
        <x:v>46298</x:v>
      </x:c>
      <x:c r="R3" s="36" t="n">
        <x:f>'テスト設定'!$B$2</x:f>
        <x:v>46298</x:v>
      </x:c>
      <x:c r="S3" s="36" t="n">
        <x:f>IF(F3="","",IF(ISNUMBER(F3),F3+'テスト設定'!$B$6,F3))</x:f>
        <x:v>46293.62430555555</x:v>
      </x:c>
      <x:c r="T3" s="36" t="n">
        <x:f>IF(S3="","",S3)</x:f>
        <x:v>46293.62430555555</x:v>
      </x:c>
    </x:row>
    <x:row r="4" ht="34" customHeight="1">
      <x:c r="A4" s="27" t="n">
        <x:v>46274.083333333336</x:v>
      </x:c>
      <x:c r="B4" s="27" t="str">
        <x:v>SIM-CLASS-003</x:v>
      </x:c>
      <x:c r="C4" s="27" t="str">
        <x:v>Google Classroom</x:v>
      </x:c>
      <x:c r="D4" s="27" t="str">
        <x:v>架空データ解析</x:v>
      </x:c>
      <x:c r="E4" s="27" t="str">
        <x:v>仮想課題-003</x:v>
      </x:c>
      <x:c r="F4" s="27" t="n">
        <x:v>46271.62430555555</x:v>
      </x:c>
      <x:c r="G4" s="27" t="str">
        <x:v>期限検出</x:v>
      </x:c>
      <x:c r="H4" s="27" t="str">
        <x:v>新しい課題: 仮想課題-003</x:v>
      </x:c>
      <x:c r="I4" s="27" t="str">
        <x:v>架空担当A &lt;fixture-003@example.invalid&gt;</x:v>
      </x:c>
      <x:c r="J4" s="27" t="n">
        <x:v>46274.125</x:v>
      </x:c>
      <x:c r="K4" s="27" t="str">
        <x:v>https://mail.example.invalid/thread/SIM-CLASS-003</x:v>
      </x:c>
      <x:c r="L4" s="28" t="str">
        <x:v>架空データ解析
架空担当A が新しい課題を投稿しました
仮想課題-003
提出期限：2026/09/06 23:59
詳細：https://courses.example.invalid/demo/SIM-CLASS-003</x:v>
      </x:c>
      <x:c r="M4" s="27" t="str">
        <x:v>未確認</x:v>
      </x:c>
      <x:c r="N4" s="27" t="str"/>
      <x:c r="O4" s="27" t="str"/>
      <x:c r="P4" s="27" t="str"/>
      <x:c r="Q4" s="36" t="n">
        <x:f>'テスト設定'!$B$2</x:f>
        <x:v>46298</x:v>
      </x:c>
      <x:c r="R4" s="36" t="n">
        <x:f>'テスト設定'!$B$2</x:f>
        <x:v>46298</x:v>
      </x:c>
      <x:c r="S4" s="36" t="n">
        <x:f>IF(F4="","",IF(ISNUMBER(F4),F4+'テスト設定'!$B$6,F4))</x:f>
        <x:v>46294.62430555555</x:v>
      </x:c>
      <x:c r="T4" s="36" t="n">
        <x:f>IF(S4="","",S4)</x:f>
        <x:v>46294.62430555555</x:v>
      </x:c>
    </x:row>
    <x:row r="5" ht="34" customHeight="1">
      <x:c r="A5" s="27" t="n">
        <x:v>46274.125</x:v>
      </x:c>
      <x:c r="B5" s="27" t="str">
        <x:v>SIM-CLASS-004</x:v>
      </x:c>
      <x:c r="C5" s="27" t="str">
        <x:v>Google Classroom</x:v>
      </x:c>
      <x:c r="D5" s="27" t="str">
        <x:v>仮想心理演習</x:v>
      </x:c>
      <x:c r="E5" s="27" t="str">
        <x:v>仮想課題-004</x:v>
      </x:c>
      <x:c r="F5" s="27" t="n">
        <x:v>46272.62430555555</x:v>
      </x:c>
      <x:c r="G5" s="27" t="str">
        <x:v>期限検出</x:v>
      </x:c>
      <x:c r="H5" s="27" t="str">
        <x:v>新しい課題: 仮想課題-004</x:v>
      </x:c>
      <x:c r="I5" s="27" t="str">
        <x:v>架空担当B &lt;fixture-004@example.invalid&gt;</x:v>
      </x:c>
      <x:c r="J5" s="27" t="n">
        <x:v>46274.166666666664</x:v>
      </x:c>
      <x:c r="K5" s="27" t="str">
        <x:v>https://mail.example.invalid/thread/SIM-CLASS-004</x:v>
      </x:c>
      <x:c r="L5" s="28" t="str">
        <x:v>仮想心理演習
架空担当B が新しい課題を投稿しました
仮想課題-004
提出期限：2026/09/07 23:59
詳細：https://courses.example.invalid/demo/SIM-CLASS-004</x:v>
      </x:c>
      <x:c r="M5" s="27" t="str">
        <x:v>未確認</x:v>
      </x:c>
      <x:c r="N5" s="27" t="str"/>
      <x:c r="O5" s="27" t="str"/>
      <x:c r="P5" s="27" t="str"/>
      <x:c r="Q5" s="36" t="n">
        <x:f>'テスト設定'!$B$2</x:f>
        <x:v>46298</x:v>
      </x:c>
      <x:c r="R5" s="36" t="n">
        <x:f>'テスト設定'!$B$2</x:f>
        <x:v>46298</x:v>
      </x:c>
      <x:c r="S5" s="36" t="n">
        <x:f>IF(F5="","",IF(ISNUMBER(F5),F5+'テスト設定'!$B$6,F5))</x:f>
        <x:v>46295.62430555555</x:v>
      </x:c>
      <x:c r="T5" s="36" t="n">
        <x:f>IF(S5="","",S5)</x:f>
        <x:v>46295.62430555555</x:v>
      </x:c>
    </x:row>
    <x:row r="6" ht="34" customHeight="1">
      <x:c r="A6" s="27" t="n">
        <x:v>46274.166666666664</x:v>
      </x:c>
      <x:c r="B6" s="27" t="str">
        <x:v>SIM-CLASS-005</x:v>
      </x:c>
      <x:c r="C6" s="27" t="str">
        <x:v>Google Classroom</x:v>
      </x:c>
      <x:c r="D6" s="27" t="str">
        <x:v>サンプル情報設計</x:v>
      </x:c>
      <x:c r="E6" s="27" t="str">
        <x:v>仮想課題-005</x:v>
      </x:c>
      <x:c r="F6" s="27" t="n">
        <x:v>46273.62430555555</x:v>
      </x:c>
      <x:c r="G6" s="27" t="str">
        <x:v>期限検出</x:v>
      </x:c>
      <x:c r="H6" s="27" t="str">
        <x:v>新しい課題: 仮想課題-005</x:v>
      </x:c>
      <x:c r="I6" s="27" t="str">
        <x:v>架空担当C &lt;fixture-005@example.invalid&gt;</x:v>
      </x:c>
      <x:c r="J6" s="27" t="n">
        <x:v>46274.208333333336</x:v>
      </x:c>
      <x:c r="K6" s="27" t="str">
        <x:v>https://mail.example.invalid/thread/SIM-CLASS-005</x:v>
      </x:c>
      <x:c r="L6" s="28" t="str">
        <x:v>サンプル情報設計
架空担当C が新しい課題を投稿しました
仮想課題-005
提出期限：2026/09/08 23:59
詳細：https://courses.example.invalid/demo/SIM-CLASS-005</x:v>
      </x:c>
      <x:c r="M6" s="27" t="str">
        <x:v>未確認</x:v>
      </x:c>
      <x:c r="N6" s="27" t="str"/>
      <x:c r="O6" s="27" t="str"/>
      <x:c r="P6" s="27" t="str"/>
      <x:c r="Q6" s="36" t="n">
        <x:f>'テスト設定'!$B$2</x:f>
        <x:v>46298</x:v>
      </x:c>
      <x:c r="R6" s="36" t="n">
        <x:f>'テスト設定'!$B$2</x:f>
        <x:v>46298</x:v>
      </x:c>
      <x:c r="S6" s="36" t="n">
        <x:f>IF(F6="","",IF(ISNUMBER(F6),F6+'テスト設定'!$B$6,F6))</x:f>
        <x:v>46296.62430555555</x:v>
      </x:c>
      <x:c r="T6" s="36" t="n">
        <x:f>IF(S6="","",S6)</x:f>
        <x:v>46296.62430555555</x:v>
      </x:c>
    </x:row>
    <x:row r="7" ht="34" customHeight="1">
      <x:c r="A7" s="27" t="n">
        <x:v>46274.208333333336</x:v>
      </x:c>
      <x:c r="B7" s="27" t="str">
        <x:v>SIM-CLASS-006</x:v>
      </x:c>
      <x:c r="C7" s="27" t="str">
        <x:v>Google Classroom</x:v>
      </x:c>
      <x:c r="D7" s="27" t="str">
        <x:v>架空データ解析</x:v>
      </x:c>
      <x:c r="E7" s="27" t="str">
        <x:v>仮想課題-006</x:v>
      </x:c>
      <x:c r="F7" s="27" t="n">
        <x:v>46274.62430555555</x:v>
      </x:c>
      <x:c r="G7" s="27" t="str">
        <x:v>期限検出</x:v>
      </x:c>
      <x:c r="H7" s="27" t="str">
        <x:v>新しい課題: 仮想課題-006</x:v>
      </x:c>
      <x:c r="I7" s="27" t="str">
        <x:v>架空担当A &lt;fixture-006@example.invalid&gt;</x:v>
      </x:c>
      <x:c r="J7" s="27" t="n">
        <x:v>46274.25</x:v>
      </x:c>
      <x:c r="K7" s="27" t="str">
        <x:v>https://mail.example.invalid/thread/SIM-CLASS-006</x:v>
      </x:c>
      <x:c r="L7" s="28" t="str">
        <x:v>架空データ解析
架空担当A が新しい課題を投稿しました
仮想課題-006
提出期限：2026/09/09 23:59
詳細：https://courses.example.invalid/demo/SIM-CLASS-006</x:v>
      </x:c>
      <x:c r="M7" s="27" t="str">
        <x:v>未確認</x:v>
      </x:c>
      <x:c r="N7" s="27" t="str"/>
      <x:c r="O7" s="27" t="str"/>
      <x:c r="P7" s="27" t="str"/>
      <x:c r="Q7" s="36" t="n">
        <x:f>'テスト設定'!$B$2</x:f>
        <x:v>46298</x:v>
      </x:c>
      <x:c r="R7" s="36" t="n">
        <x:f>'テスト設定'!$B$2</x:f>
        <x:v>46298</x:v>
      </x:c>
      <x:c r="S7" s="36" t="n">
        <x:f>IF(F7="","",IF(ISNUMBER(F7),F7+'テスト設定'!$B$6,F7))</x:f>
        <x:v>46297.62430555555</x:v>
      </x:c>
      <x:c r="T7" s="36" t="n">
        <x:f>IF(S7="","",S7)</x:f>
        <x:v>46297.62430555555</x:v>
      </x:c>
    </x:row>
    <x:row r="8" ht="34" customHeight="1">
      <x:c r="A8" s="27" t="n">
        <x:v>46274.25</x:v>
      </x:c>
      <x:c r="B8" s="27" t="str">
        <x:v>SIM-CLASS-007</x:v>
      </x:c>
      <x:c r="C8" s="27" t="str">
        <x:v>Google Classroom</x:v>
      </x:c>
      <x:c r="D8" s="27" t="str">
        <x:v>仮想心理演習</x:v>
      </x:c>
      <x:c r="E8" s="27" t="str">
        <x:v>仮想課題-007</x:v>
      </x:c>
      <x:c r="F8" s="27" t="n">
        <x:v>46275.62430555555</x:v>
      </x:c>
      <x:c r="G8" s="27" t="str">
        <x:v>期限検出</x:v>
      </x:c>
      <x:c r="H8" s="27" t="str">
        <x:v>新しい課題: 仮想課題-007</x:v>
      </x:c>
      <x:c r="I8" s="27" t="str">
        <x:v>架空担当B &lt;fixture-007@example.invalid&gt;</x:v>
      </x:c>
      <x:c r="J8" s="27" t="n">
        <x:v>46274.291666666664</x:v>
      </x:c>
      <x:c r="K8" s="27" t="str">
        <x:v>https://mail.example.invalid/thread/SIM-CLASS-007</x:v>
      </x:c>
      <x:c r="L8" s="28" t="str">
        <x:v>仮想心理演習
架空担当B が新しい課題を投稿しました
仮想課題-007
提出期限：2026/09/10 23:59
詳細：https://courses.example.invalid/demo/SIM-CLASS-007</x:v>
      </x:c>
      <x:c r="M8" s="27" t="str">
        <x:v>未確認</x:v>
      </x:c>
      <x:c r="N8" s="27" t="str"/>
      <x:c r="O8" s="27" t="str"/>
      <x:c r="P8" s="27" t="str"/>
      <x:c r="Q8" s="36" t="n">
        <x:f>'テスト設定'!$B$2</x:f>
        <x:v>46298</x:v>
      </x:c>
      <x:c r="R8" s="36" t="n">
        <x:f>'テスト設定'!$B$2</x:f>
        <x:v>46298</x:v>
      </x:c>
      <x:c r="S8" s="36" t="n">
        <x:f>IF(F8="","",IF(ISNUMBER(F8),F8+'テスト設定'!$B$6,F8))</x:f>
        <x:v>46298.62430555555</x:v>
      </x:c>
      <x:c r="T8" s="36" t="n">
        <x:f>IF(S8="","",S8)</x:f>
        <x:v>46298.62430555555</x:v>
      </x:c>
    </x:row>
    <x:row r="9" ht="34" customHeight="1">
      <x:c r="A9" s="27" t="n">
        <x:v>46274.291666666664</x:v>
      </x:c>
      <x:c r="B9" s="27" t="str">
        <x:v>SIM-CLASS-008</x:v>
      </x:c>
      <x:c r="C9" s="27" t="str">
        <x:v>Google Classroom</x:v>
      </x:c>
      <x:c r="D9" s="27" t="str">
        <x:v>サンプル情報設計</x:v>
      </x:c>
      <x:c r="E9" s="27" t="str">
        <x:v>仮想課題-008</x:v>
      </x:c>
      <x:c r="F9" s="27" t="n">
        <x:v>46276.62430555555</x:v>
      </x:c>
      <x:c r="G9" s="27" t="str">
        <x:v>期限検出</x:v>
      </x:c>
      <x:c r="H9" s="27" t="str">
        <x:v>新しい課題: 仮想課題-008</x:v>
      </x:c>
      <x:c r="I9" s="27" t="str">
        <x:v>架空担当C &lt;fixture-008@example.invalid&gt;</x:v>
      </x:c>
      <x:c r="J9" s="27" t="n">
        <x:v>46274</x:v>
      </x:c>
      <x:c r="K9" s="27" t="str">
        <x:v>https://mail.example.invalid/thread/SIM-CLASS-008</x:v>
      </x:c>
      <x:c r="L9" s="28" t="str">
        <x:v>サンプル情報設計
架空担当C が新しい課題を投稿しました
仮想課題-008
提出期限：2026/09/11 23:59
詳細：https://courses.example.invalid/demo/SIM-CLASS-008</x:v>
      </x:c>
      <x:c r="M9" s="27" t="str">
        <x:v>未確認</x:v>
      </x:c>
      <x:c r="N9" s="27" t="str"/>
      <x:c r="O9" s="27" t="str"/>
      <x:c r="P9" s="27" t="str"/>
      <x:c r="Q9" s="36" t="n">
        <x:f>'テスト設定'!$B$2</x:f>
        <x:v>46298</x:v>
      </x:c>
      <x:c r="R9" s="36" t="n">
        <x:f>'テスト設定'!$B$2</x:f>
        <x:v>46298</x:v>
      </x:c>
      <x:c r="S9" s="36" t="n">
        <x:f>IF(F9="","",IF(ISNUMBER(F9),F9+'テスト設定'!$B$6,F9))</x:f>
        <x:v>46299.62430555555</x:v>
      </x:c>
      <x:c r="T9" s="36" t="n">
        <x:f>IF(S9="","",S9)</x:f>
        <x:v>46299.62430555555</x:v>
      </x:c>
    </x:row>
    <x:row r="10" ht="34" customHeight="1">
      <x:c r="A10" s="27" t="n">
        <x:v>46273.958333333336</x:v>
      </x:c>
      <x:c r="B10" s="27" t="str">
        <x:v>SIM-CLASS-009</x:v>
      </x:c>
      <x:c r="C10" s="27" t="str">
        <x:v>Google Classroom</x:v>
      </x:c>
      <x:c r="D10" s="27" t="str">
        <x:v>架空データ解析</x:v>
      </x:c>
      <x:c r="E10" s="27" t="str">
        <x:v>仮想課題-009</x:v>
      </x:c>
      <x:c r="F10" s="27" t="n">
        <x:v>46277.62430555555</x:v>
      </x:c>
      <x:c r="G10" s="27" t="str">
        <x:v>期限検出</x:v>
      </x:c>
      <x:c r="H10" s="27" t="str">
        <x:v>新しい課題: 仮想課題-009</x:v>
      </x:c>
      <x:c r="I10" s="27" t="str">
        <x:v>架空担当A &lt;fixture-009@example.invalid&gt;</x:v>
      </x:c>
      <x:c r="J10" s="27" t="n">
        <x:v>46274.041666666664</x:v>
      </x:c>
      <x:c r="K10" s="27" t="str">
        <x:v>https://mail.example.invalid/thread/SIM-CLASS-009</x:v>
      </x:c>
      <x:c r="L10" s="28" t="str">
        <x:v>架空データ解析
架空担当A が新しい課題を投稿しました
仮想課題-009
提出期限：2026/09/12 23:59
詳細：https://courses.example.invalid/demo/SIM-CLASS-009</x:v>
      </x:c>
      <x:c r="M10" s="27" t="str">
        <x:v>未確認</x:v>
      </x:c>
      <x:c r="N10" s="27" t="str"/>
      <x:c r="O10" s="27" t="str"/>
      <x:c r="P10" s="27" t="str"/>
      <x:c r="Q10" s="36" t="n">
        <x:f>'テスト設定'!$B$2</x:f>
        <x:v>46298</x:v>
      </x:c>
      <x:c r="R10" s="36" t="n">
        <x:f>'テスト設定'!$B$2</x:f>
        <x:v>46298</x:v>
      </x:c>
      <x:c r="S10" s="36" t="n">
        <x:f>IF(F10="","",IF(ISNUMBER(F10),F10+'テスト設定'!$B$6,F10))</x:f>
        <x:v>46300.62430555555</x:v>
      </x:c>
      <x:c r="T10" s="36" t="n">
        <x:f>IF(S10="","",S10)</x:f>
        <x:v>46300.62430555555</x:v>
      </x:c>
    </x:row>
    <x:row r="11" ht="34" customHeight="1">
      <x:c r="A11" s="27" t="n">
        <x:v>46274</x:v>
      </x:c>
      <x:c r="B11" s="27" t="str">
        <x:v>SIM-CLASS-010</x:v>
      </x:c>
      <x:c r="C11" s="27" t="str">
        <x:v>Google Classroom</x:v>
      </x:c>
      <x:c r="D11" s="27" t="str">
        <x:v>仮想心理演習</x:v>
      </x:c>
      <x:c r="E11" s="27" t="str">
        <x:v>仮想課題-010</x:v>
      </x:c>
      <x:c r="F11" s="27" t="n">
        <x:v>46278.62430555555</x:v>
      </x:c>
      <x:c r="G11" s="27" t="str">
        <x:v>期限検出</x:v>
      </x:c>
      <x:c r="H11" s="27" t="str">
        <x:v>新しい課題: 仮想課題-010</x:v>
      </x:c>
      <x:c r="I11" s="27" t="str">
        <x:v>架空担当B &lt;fixture-010@example.invalid&gt;</x:v>
      </x:c>
      <x:c r="J11" s="27" t="n">
        <x:v>46274.083333333336</x:v>
      </x:c>
      <x:c r="K11" s="27" t="str">
        <x:v>https://mail.example.invalid/thread/SIM-CLASS-010</x:v>
      </x:c>
      <x:c r="L11" s="28" t="str">
        <x:v>仮想心理演習
架空担当B が新しい課題を投稿しました
仮想課題-010
提出期限：2026/09/13 23:59
詳細：https://courses.example.invalid/demo/SIM-CLASS-010</x:v>
      </x:c>
      <x:c r="M11" s="27" t="str">
        <x:v>未確認</x:v>
      </x:c>
      <x:c r="N11" s="27" t="str"/>
      <x:c r="O11" s="27" t="str"/>
      <x:c r="P11" s="27" t="str"/>
      <x:c r="Q11" s="36" t="n">
        <x:f>'テスト設定'!$B$2</x:f>
        <x:v>46298</x:v>
      </x:c>
      <x:c r="R11" s="36" t="n">
        <x:f>'テスト設定'!$B$2</x:f>
        <x:v>46298</x:v>
      </x:c>
      <x:c r="S11" s="36" t="n">
        <x:f>IF(F11="","",IF(ISNUMBER(F11),F11+'テスト設定'!$B$6,F11))</x:f>
        <x:v>46301.62430555555</x:v>
      </x:c>
      <x:c r="T11" s="36" t="n">
        <x:f>IF(S11="","",S11)</x:f>
        <x:v>46301.62430555555</x:v>
      </x:c>
    </x:row>
    <x:row r="12" ht="34" customHeight="1">
      <x:c r="A12" s="27" t="n">
        <x:v>46274.041666666664</x:v>
      </x:c>
      <x:c r="B12" s="27" t="str">
        <x:v>SIM-CLASS-011</x:v>
      </x:c>
      <x:c r="C12" s="27" t="str">
        <x:v>Google Classroom</x:v>
      </x:c>
      <x:c r="D12" s="27" t="str">
        <x:v>サンプル情報設計</x:v>
      </x:c>
      <x:c r="E12" s="27" t="str">
        <x:v>仮想お知らせ-011</x:v>
      </x:c>
      <x:c r="F12" s="27" t="str"/>
      <x:c r="G12" s="27" t="str">
        <x:v>期限未検出・要確認</x:v>
      </x:c>
      <x:c r="H12" s="27" t="str">
        <x:v>新しいお知らせ: 仮想お知らせ-011</x:v>
      </x:c>
      <x:c r="I12" s="27" t="str">
        <x:v>架空担当C &lt;fixture-011@example.invalid&gt;</x:v>
      </x:c>
      <x:c r="J12" s="27" t="n">
        <x:v>46274.125</x:v>
      </x:c>
      <x:c r="K12" s="27" t="str">
        <x:v>https://mail.example.invalid/thread/SIM-CLASS-011</x:v>
      </x:c>
      <x:c r="L12" s="28" t="str">
        <x:v>サンプル情報設計
架空担当C が新しいお知らせを投稿しました
仮想お知らせ-011
詳細：https://courses.example.invalid/demo/SIM-CLASS-011</x:v>
      </x:c>
      <x:c r="M12" s="27" t="str">
        <x:v>未確認</x:v>
      </x:c>
      <x:c r="N12" s="27" t="str"/>
      <x:c r="O12" s="27" t="str"/>
      <x:c r="P12" s="27" t="str"/>
      <x:c r="Q12" s="36" t="n">
        <x:f>'テスト設定'!$B$2</x:f>
        <x:v>46298</x:v>
      </x:c>
      <x:c r="R12" s="36" t="n">
        <x:f>'テスト設定'!$B$2</x:f>
        <x:v>46298</x:v>
      </x:c>
      <x:c r="S12" s="36" t="str">
        <x:f>IF(F12="","",IF(ISNUMBER(F12),F12+'テスト設定'!$B$6,F12))</x:f>
      </x:c>
      <x:c r="T12" s="36" t="str">
        <x:f>IF(S12="","",S12)</x:f>
      </x:c>
    </x:row>
    <x:row r="13" ht="34" customHeight="1">
      <x:c r="A13" s="27" t="n">
        <x:v>46274.083333333336</x:v>
      </x:c>
      <x:c r="B13" s="27" t="str">
        <x:v>SIM-CLASS-012</x:v>
      </x:c>
      <x:c r="C13" s="27" t="str">
        <x:v>Google Classroom</x:v>
      </x:c>
      <x:c r="D13" s="27" t="str">
        <x:v>架空データ解析</x:v>
      </x:c>
      <x:c r="E13" s="27" t="str">
        <x:v>仮想課題-012</x:v>
      </x:c>
      <x:c r="F13" s="27" t="n">
        <x:v>46280.62430555555</x:v>
      </x:c>
      <x:c r="G13" s="27" t="str">
        <x:v>期限検出</x:v>
      </x:c>
      <x:c r="H13" s="27" t="str">
        <x:v>新しい課題: 仮想課題-012</x:v>
      </x:c>
      <x:c r="I13" s="27" t="str">
        <x:v>架空担当A &lt;fixture-012@example.invalid&gt;</x:v>
      </x:c>
      <x:c r="J13" s="27" t="n">
        <x:v>46274.166666666664</x:v>
      </x:c>
      <x:c r="K13" s="27" t="str">
        <x:v>https://mail.example.invalid/thread/SIM-CLASS-012</x:v>
      </x:c>
      <x:c r="L13" s="28" t="str">
        <x:v>架空データ解析
架空担当A が新しい課題を投稿しました
仮想課題-012
提出期限：2026/09/15 23:59
詳細：https://courses.example.invalid/demo/SIM-CLASS-012</x:v>
      </x:c>
      <x:c r="M13" s="27" t="str">
        <x:v>未確認</x:v>
      </x:c>
      <x:c r="N13" s="27" t="str"/>
      <x:c r="O13" s="27" t="str"/>
      <x:c r="P13" s="27" t="str"/>
      <x:c r="Q13" s="36" t="n">
        <x:f>'テスト設定'!$B$2</x:f>
        <x:v>46298</x:v>
      </x:c>
      <x:c r="R13" s="36" t="n">
        <x:f>'テスト設定'!$B$2</x:f>
        <x:v>46298</x:v>
      </x:c>
      <x:c r="S13" s="36" t="n">
        <x:f>IF(F13="","",IF(ISNUMBER(F13),F13+'テスト設定'!$B$6,F13))</x:f>
        <x:v>46303.62430555555</x:v>
      </x:c>
      <x:c r="T13" s="36" t="n">
        <x:f>IF(S13="","",S13)</x:f>
        <x:v>46303.62430555555</x:v>
      </x:c>
    </x:row>
    <x:row r="14" ht="34" customHeight="1">
      <x:c r="A14" s="27" t="n">
        <x:v>46274.125</x:v>
      </x:c>
      <x:c r="B14" s="27" t="str">
        <x:v>SIM-CLASS-013</x:v>
      </x:c>
      <x:c r="C14" s="27" t="str">
        <x:v>Google Classroom</x:v>
      </x:c>
      <x:c r="D14" s="27" t="str">
        <x:v>仮想心理演習</x:v>
      </x:c>
      <x:c r="E14" s="27" t="str">
        <x:v>仮想課題-013</x:v>
      </x:c>
      <x:c r="F14" s="27" t="n">
        <x:v>46281.62430555555</x:v>
      </x:c>
      <x:c r="G14" s="27" t="str">
        <x:v>期限検出</x:v>
      </x:c>
      <x:c r="H14" s="27" t="str">
        <x:v>新しい課題: 仮想課題-013</x:v>
      </x:c>
      <x:c r="I14" s="27" t="str">
        <x:v>架空担当B &lt;fixture-013@example.invalid&gt;</x:v>
      </x:c>
      <x:c r="J14" s="27" t="n">
        <x:v>46274.208333333336</x:v>
      </x:c>
      <x:c r="K14" s="27" t="str">
        <x:v>https://mail.example.invalid/thread/SIM-CLASS-013</x:v>
      </x:c>
      <x:c r="L14" s="28" t="str">
        <x:v>仮想心理演習
架空担当B が新しい課題を投稿しました
仮想課題-013
提出期限：2026/09/16 23:59
詳細：https://courses.example.invalid/demo/SIM-CLASS-013</x:v>
      </x:c>
      <x:c r="M14" s="27" t="str">
        <x:v>未確認</x:v>
      </x:c>
      <x:c r="N14" s="27" t="str"/>
      <x:c r="O14" s="27" t="str"/>
      <x:c r="P14" s="27" t="str"/>
      <x:c r="Q14" s="36" t="n">
        <x:f>'テスト設定'!$B$2</x:f>
        <x:v>46298</x:v>
      </x:c>
      <x:c r="R14" s="36" t="n">
        <x:f>'テスト設定'!$B$2</x:f>
        <x:v>46298</x:v>
      </x:c>
      <x:c r="S14" s="36" t="n">
        <x:f>IF(F14="","",IF(ISNUMBER(F14),F14+'テスト設定'!$B$6,F14))</x:f>
        <x:v>46304.62430555555</x:v>
      </x:c>
      <x:c r="T14" s="36" t="n">
        <x:f>IF(S14="","",S14)</x:f>
        <x:v>46304.62430555555</x:v>
      </x:c>
    </x:row>
    <x:row r="15" ht="34" customHeight="1">
      <x:c r="A15" s="27" t="n">
        <x:v>46274.166666666664</x:v>
      </x:c>
      <x:c r="B15" s="27" t="str">
        <x:v>SIM-CLASS-014</x:v>
      </x:c>
      <x:c r="C15" s="27" t="str">
        <x:v>Google Classroom</x:v>
      </x:c>
      <x:c r="D15" s="27" t="str">
        <x:v>サンプル情報設計</x:v>
      </x:c>
      <x:c r="E15" s="27" t="str">
        <x:v>仮想課題-014</x:v>
      </x:c>
      <x:c r="F15" s="27" t="n">
        <x:v>46282.62430555555</x:v>
      </x:c>
      <x:c r="G15" s="27" t="str">
        <x:v>期限検出</x:v>
      </x:c>
      <x:c r="H15" s="27" t="str">
        <x:v>新しい課題: 仮想課題-014</x:v>
      </x:c>
      <x:c r="I15" s="27" t="str">
        <x:v>架空担当C &lt;fixture-014@example.invalid&gt;</x:v>
      </x:c>
      <x:c r="J15" s="27" t="n">
        <x:v>46274.25</x:v>
      </x:c>
      <x:c r="K15" s="27" t="str">
        <x:v>https://mail.example.invalid/thread/SIM-CLASS-014</x:v>
      </x:c>
      <x:c r="L15" s="28" t="str">
        <x:v>サンプル情報設計
架空担当C が新しい課題を投稿しました
仮想課題-014
提出期限：2026/09/17 23:59
詳細：https://courses.example.invalid/demo/SIM-CLASS-014</x:v>
      </x:c>
      <x:c r="M15" s="27" t="str">
        <x:v>未確認</x:v>
      </x:c>
      <x:c r="N15" s="27" t="str"/>
      <x:c r="O15" s="27" t="str"/>
      <x:c r="P15" s="27" t="str"/>
      <x:c r="Q15" s="36" t="n">
        <x:f>'テスト設定'!$B$2</x:f>
        <x:v>46298</x:v>
      </x:c>
      <x:c r="R15" s="36" t="n">
        <x:f>'テスト設定'!$B$2</x:f>
        <x:v>46298</x:v>
      </x:c>
      <x:c r="S15" s="36" t="n">
        <x:f>IF(F15="","",IF(ISNUMBER(F15),F15+'テスト設定'!$B$6,F15))</x:f>
        <x:v>46305.62430555555</x:v>
      </x:c>
      <x:c r="T15" s="36" t="n">
        <x:f>IF(S15="","",S15)</x:f>
        <x:v>46305.62430555555</x:v>
      </x:c>
    </x:row>
    <x:row r="16" ht="34" customHeight="1">
      <x:c r="A16" s="27" t="n">
        <x:v>46274.208333333336</x:v>
      </x:c>
      <x:c r="B16" s="27" t="str">
        <x:v>SIM-CLASS-015</x:v>
      </x:c>
      <x:c r="C16" s="27" t="str">
        <x:v>Google Classroom</x:v>
      </x:c>
      <x:c r="D16" s="27" t="str">
        <x:v>架空データ解析</x:v>
      </x:c>
      <x:c r="E16" s="27" t="str">
        <x:v>仮想課題-015</x:v>
      </x:c>
      <x:c r="F16" s="27" t="n">
        <x:v>46283.62430555555</x:v>
      </x:c>
      <x:c r="G16" s="27" t="str">
        <x:v>期限検出</x:v>
      </x:c>
      <x:c r="H16" s="27" t="str">
        <x:v>新しい課題: 仮想課題-015</x:v>
      </x:c>
      <x:c r="I16" s="27" t="str">
        <x:v>架空担当A &lt;fixture-015@example.invalid&gt;</x:v>
      </x:c>
      <x:c r="J16" s="27" t="n">
        <x:v>46274.291666666664</x:v>
      </x:c>
      <x:c r="K16" s="27" t="str">
        <x:v>https://mail.example.invalid/thread/SIM-CLASS-015</x:v>
      </x:c>
      <x:c r="L16" s="28" t="str">
        <x:v>架空データ解析
架空担当A が新しい課題を投稿しました
仮想課題-015
提出期限：2026/09/18 23:59
詳細：https://courses.example.invalid/demo/SIM-CLASS-015</x:v>
      </x:c>
      <x:c r="M16" s="27" t="str">
        <x:v>未確認</x:v>
      </x:c>
      <x:c r="N16" s="27" t="str"/>
      <x:c r="O16" s="27" t="str"/>
      <x:c r="P16" s="27" t="str"/>
      <x:c r="Q16" s="36" t="n">
        <x:f>'テスト設定'!$B$2</x:f>
        <x:v>46298</x:v>
      </x:c>
      <x:c r="R16" s="36" t="n">
        <x:f>'テスト設定'!$B$2</x:f>
        <x:v>46298</x:v>
      </x:c>
      <x:c r="S16" s="36" t="n">
        <x:f>IF(F16="","",IF(ISNUMBER(F16),F16+'テスト設定'!$B$6,F16))</x:f>
        <x:v>46306.62430555555</x:v>
      </x:c>
      <x:c r="T16" s="36" t="n">
        <x:f>IF(S16="","",S16)</x:f>
        <x:v>46306.62430555555</x:v>
      </x:c>
    </x:row>
    <x:row r="17" ht="34" customHeight="1">
      <x:c r="A17" s="27" t="n">
        <x:v>46274.25</x:v>
      </x:c>
      <x:c r="B17" s="27" t="str">
        <x:v>SIM-CLASS-016</x:v>
      </x:c>
      <x:c r="C17" s="27" t="str">
        <x:v>Google Classroom</x:v>
      </x:c>
      <x:c r="D17" s="27" t="str">
        <x:v>仮想心理演習</x:v>
      </x:c>
      <x:c r="E17" s="27" t="str">
        <x:v>仮想課題-016</x:v>
      </x:c>
      <x:c r="F17" s="27" t="n">
        <x:v>46284.62430555555</x:v>
      </x:c>
      <x:c r="G17" s="27" t="str">
        <x:v>期限検出</x:v>
      </x:c>
      <x:c r="H17" s="27" t="str">
        <x:v>新しい課題: 仮想課題-016</x:v>
      </x:c>
      <x:c r="I17" s="27" t="str">
        <x:v>架空担当B &lt;fixture-016@example.invalid&gt;</x:v>
      </x:c>
      <x:c r="J17" s="27" t="n">
        <x:v>46274</x:v>
      </x:c>
      <x:c r="K17" s="27" t="str">
        <x:v>https://mail.example.invalid/thread/SIM-CLASS-016</x:v>
      </x:c>
      <x:c r="L17" s="28" t="str">
        <x:v>仮想心理演習
架空担当B が新しい課題を投稿しました
仮想課題-016
提出期限：2026/09/19 23:59
詳細：https://courses.example.invalid/demo/SIM-CLASS-016</x:v>
      </x:c>
      <x:c r="M17" s="27" t="str">
        <x:v>未確認</x:v>
      </x:c>
      <x:c r="N17" s="27" t="str"/>
      <x:c r="O17" s="27" t="str"/>
      <x:c r="P17" s="27" t="str"/>
      <x:c r="Q17" s="36" t="n">
        <x:f>'テスト設定'!$B$2</x:f>
        <x:v>46298</x:v>
      </x:c>
      <x:c r="R17" s="36" t="n">
        <x:f>'テスト設定'!$B$2</x:f>
        <x:v>46298</x:v>
      </x:c>
      <x:c r="S17" s="36" t="n">
        <x:f>IF(F17="","",IF(ISNUMBER(F17),F17+'テスト設定'!$B$6,F17))</x:f>
        <x:v>46307.62430555555</x:v>
      </x:c>
      <x:c r="T17" s="36" t="n">
        <x:f>IF(S17="","",S17)</x:f>
        <x:v>46307.62430555555</x:v>
      </x:c>
    </x:row>
    <x:row r="18" ht="34" customHeight="1">
      <x:c r="A18" s="27" t="n">
        <x:v>46274.291666666664</x:v>
      </x:c>
      <x:c r="B18" s="27" t="str">
        <x:v>SIM-CLASS-017</x:v>
      </x:c>
      <x:c r="C18" s="27" t="str">
        <x:v>Google Classroom</x:v>
      </x:c>
      <x:c r="D18" s="27" t="str">
        <x:v>サンプル情報設計</x:v>
      </x:c>
      <x:c r="E18" s="27" t="str">
        <x:v>仮想課題-017</x:v>
      </x:c>
      <x:c r="F18" s="27" t="n">
        <x:v>46285.62430555555</x:v>
      </x:c>
      <x:c r="G18" s="27" t="str">
        <x:v>期限検出</x:v>
      </x:c>
      <x:c r="H18" s="27" t="str">
        <x:v>新しい課題: 仮想課題-017</x:v>
      </x:c>
      <x:c r="I18" s="27" t="str">
        <x:v>架空担当C &lt;fixture-017@example.invalid&gt;</x:v>
      </x:c>
      <x:c r="J18" s="27" t="n">
        <x:v>46274.041666666664</x:v>
      </x:c>
      <x:c r="K18" s="27" t="str">
        <x:v>https://mail.example.invalid/thread/SIM-CLASS-017</x:v>
      </x:c>
      <x:c r="L18" s="28" t="str">
        <x:v>サンプル情報設計
架空担当C が新しい課題を投稿しました
仮想課題-017
提出期限：2026/09/20 23:59
詳細：https://courses.example.invalid/demo/SIM-CLASS-017</x:v>
      </x:c>
      <x:c r="M18" s="27" t="str">
        <x:v>未確認</x:v>
      </x:c>
      <x:c r="N18" s="27" t="str"/>
      <x:c r="O18" s="27" t="str"/>
      <x:c r="P18" s="27" t="str"/>
      <x:c r="Q18" s="36" t="n">
        <x:f>'テスト設定'!$B$2</x:f>
        <x:v>46298</x:v>
      </x:c>
      <x:c r="R18" s="36" t="n">
        <x:f>'テスト設定'!$B$2</x:f>
        <x:v>46298</x:v>
      </x:c>
      <x:c r="S18" s="36" t="n">
        <x:f>IF(F18="","",IF(ISNUMBER(F18),F18+'テスト設定'!$B$6,F18))</x:f>
        <x:v>46308.62430555555</x:v>
      </x:c>
      <x:c r="T18" s="36" t="n">
        <x:f>IF(S18="","",S18)</x:f>
        <x:v>46308.62430555555</x:v>
      </x:c>
    </x:row>
    <x:row r="19" ht="34" customHeight="1">
      <x:c r="A19" s="27" t="n">
        <x:v>46273.958333333336</x:v>
      </x:c>
      <x:c r="B19" s="27" t="str">
        <x:v>SIM-CLASS-018</x:v>
      </x:c>
      <x:c r="C19" s="27" t="str">
        <x:v>Google Classroom</x:v>
      </x:c>
      <x:c r="D19" s="27" t="str">
        <x:v>架空データ解析</x:v>
      </x:c>
      <x:c r="E19" s="27" t="str">
        <x:v>仮想課題-018</x:v>
      </x:c>
      <x:c r="F19" s="27" t="n">
        <x:v>46268.62430555555</x:v>
      </x:c>
      <x:c r="G19" s="27" t="str">
        <x:v>期限検出</x:v>
      </x:c>
      <x:c r="H19" s="27" t="str">
        <x:v>新しい課題: 仮想課題-018</x:v>
      </x:c>
      <x:c r="I19" s="27" t="str">
        <x:v>架空担当A &lt;fixture-018@example.invalid&gt;</x:v>
      </x:c>
      <x:c r="J19" s="27" t="n">
        <x:v>46274.083333333336</x:v>
      </x:c>
      <x:c r="K19" s="27" t="str">
        <x:v>https://mail.example.invalid/thread/SIM-CLASS-018</x:v>
      </x:c>
      <x:c r="L19" s="28" t="str">
        <x:v>架空データ解析
架空担当A が新しい課題を投稿しました
仮想課題-018
提出期限：2026/09/03 23:59
詳細：https://courses.example.invalid/demo/SIM-CLASS-018</x:v>
      </x:c>
      <x:c r="M19" s="27" t="str">
        <x:v>未確認</x:v>
      </x:c>
      <x:c r="N19" s="27" t="str"/>
      <x:c r="O19" s="27" t="str"/>
      <x:c r="P19" s="27" t="str"/>
      <x:c r="Q19" s="36" t="n">
        <x:f>'テスト設定'!$B$2</x:f>
        <x:v>46298</x:v>
      </x:c>
      <x:c r="R19" s="36" t="n">
        <x:f>'テスト設定'!$B$2</x:f>
        <x:v>46298</x:v>
      </x:c>
      <x:c r="S19" s="36" t="n">
        <x:f>IF(F19="","",IF(ISNUMBER(F19),F19+'テスト設定'!$B$6,F19))</x:f>
        <x:v>46291.62430555555</x:v>
      </x:c>
      <x:c r="T19" s="36" t="n">
        <x:f>IF(S19="","",S19)</x:f>
        <x:v>46291.62430555555</x:v>
      </x:c>
    </x:row>
    <x:row r="20" ht="34" customHeight="1">
      <x:c r="A20" s="27" t="n">
        <x:v>46274</x:v>
      </x:c>
      <x:c r="B20" s="27" t="str">
        <x:v>SIM-CLASS-019</x:v>
      </x:c>
      <x:c r="C20" s="27" t="str">
        <x:v>Google Classroom</x:v>
      </x:c>
      <x:c r="D20" s="27" t="str">
        <x:v>仮想心理演習</x:v>
      </x:c>
      <x:c r="E20" s="27" t="str">
        <x:v>仮想課題-019</x:v>
      </x:c>
      <x:c r="F20" s="27" t="n">
        <x:v>46269.62430555555</x:v>
      </x:c>
      <x:c r="G20" s="27" t="str">
        <x:v>期限検出</x:v>
      </x:c>
      <x:c r="H20" s="27" t="str">
        <x:v>新しい課題: 仮想課題-019</x:v>
      </x:c>
      <x:c r="I20" s="27" t="str">
        <x:v>架空担当B &lt;fixture-019@example.invalid&gt;</x:v>
      </x:c>
      <x:c r="J20" s="27" t="n">
        <x:v>46274.125</x:v>
      </x:c>
      <x:c r="K20" s="27" t="str">
        <x:v>https://mail.example.invalid/thread/SIM-CLASS-019</x:v>
      </x:c>
      <x:c r="L20" s="28" t="str">
        <x:v>仮想心理演習
架空担当B が新しい課題を投稿しました
仮想課題-019
提出期限：2026/09/04 23:59
詳細：https://courses.example.invalid/demo/SIM-CLASS-019</x:v>
      </x:c>
      <x:c r="M20" s="27" t="str">
        <x:v>未確認</x:v>
      </x:c>
      <x:c r="N20" s="27" t="str"/>
      <x:c r="O20" s="27" t="str"/>
      <x:c r="P20" s="27" t="str"/>
      <x:c r="Q20" s="36" t="n">
        <x:f>'テスト設定'!$B$2</x:f>
        <x:v>46298</x:v>
      </x:c>
      <x:c r="R20" s="36" t="n">
        <x:f>'テスト設定'!$B$2</x:f>
        <x:v>46298</x:v>
      </x:c>
      <x:c r="S20" s="36" t="n">
        <x:f>IF(F20="","",IF(ISNUMBER(F20),F20+'テスト設定'!$B$6,F20))</x:f>
        <x:v>46292.62430555555</x:v>
      </x:c>
      <x:c r="T20" s="36" t="n">
        <x:f>IF(S20="","",S20)</x:f>
        <x:v>46292.62430555555</x:v>
      </x:c>
    </x:row>
    <x:row r="21" ht="34" customHeight="1">
      <x:c r="A21" s="27" t="n">
        <x:v>46274.041666666664</x:v>
      </x:c>
      <x:c r="B21" s="27" t="str">
        <x:v>SIM-CLASS-020</x:v>
      </x:c>
      <x:c r="C21" s="27" t="str">
        <x:v>Google Classroom</x:v>
      </x:c>
      <x:c r="D21" s="27" t="str">
        <x:v>サンプル情報設計</x:v>
      </x:c>
      <x:c r="E21" s="27" t="str">
        <x:v>仮想課題-020</x:v>
      </x:c>
      <x:c r="F21" s="27" t="n">
        <x:v>46270.62430555555</x:v>
      </x:c>
      <x:c r="G21" s="27" t="str">
        <x:v>期限検出</x:v>
      </x:c>
      <x:c r="H21" s="27" t="str">
        <x:v>新しい課題: 仮想課題-020</x:v>
      </x:c>
      <x:c r="I21" s="27" t="str">
        <x:v>架空担当C &lt;fixture-020@example.invalid&gt;</x:v>
      </x:c>
      <x:c r="J21" s="27" t="n">
        <x:v>46274.166666666664</x:v>
      </x:c>
      <x:c r="K21" s="27" t="str">
        <x:v>https://mail.example.invalid/thread/SIM-CLASS-020</x:v>
      </x:c>
      <x:c r="L21" s="28" t="str">
        <x:v>サンプル情報設計
架空担当C が新しい課題を投稿しました
仮想課題-020
提出期限：2026/09/05 23:59
詳細：https://courses.example.invalid/demo/SIM-CLASS-020</x:v>
      </x:c>
      <x:c r="M21" s="27" t="str">
        <x:v>未確認</x:v>
      </x:c>
      <x:c r="N21" s="27" t="str"/>
      <x:c r="O21" s="27" t="str"/>
      <x:c r="P21" s="27" t="str"/>
      <x:c r="Q21" s="36" t="n">
        <x:f>'テスト設定'!$B$2</x:f>
        <x:v>46298</x:v>
      </x:c>
      <x:c r="R21" s="36" t="n">
        <x:f>'テスト設定'!$B$2</x:f>
        <x:v>46298</x:v>
      </x:c>
      <x:c r="S21" s="36" t="n">
        <x:f>IF(F21="","",IF(ISNUMBER(F21),F21+'テスト設定'!$B$6,F21))</x:f>
        <x:v>46293.62430555555</x:v>
      </x:c>
      <x:c r="T21" s="36" t="n">
        <x:f>IF(S21="","",S21)</x:f>
        <x:v>46293.62430555555</x:v>
      </x:c>
    </x:row>
    <x:row r="22" ht="34" customHeight="1">
      <x:c r="A22" s="27" t="n">
        <x:v>46274.083333333336</x:v>
      </x:c>
      <x:c r="B22" s="27" t="str">
        <x:v>SIM-CLASS-021</x:v>
      </x:c>
      <x:c r="C22" s="27" t="str">
        <x:v>Google Classroom</x:v>
      </x:c>
      <x:c r="D22" s="27" t="str">
        <x:v>架空データ解析</x:v>
      </x:c>
      <x:c r="E22" s="27" t="str">
        <x:v>仮想課題-021</x:v>
      </x:c>
      <x:c r="F22" s="27" t="n">
        <x:v>46271.62430555555</x:v>
      </x:c>
      <x:c r="G22" s="27" t="str">
        <x:v>期限検出</x:v>
      </x:c>
      <x:c r="H22" s="27" t="str">
        <x:v>新しい課題: 仮想課題-021</x:v>
      </x:c>
      <x:c r="I22" s="27" t="str">
        <x:v>架空担当A &lt;fixture-021@example.invalid&gt;</x:v>
      </x:c>
      <x:c r="J22" s="27" t="n">
        <x:v>46274.208333333336</x:v>
      </x:c>
      <x:c r="K22" s="27" t="str">
        <x:v>https://mail.example.invalid/thread/SIM-CLASS-021</x:v>
      </x:c>
      <x:c r="L22" s="28" t="str">
        <x:v>架空データ解析
架空担当A が新しい課題を投稿しました
仮想課題-021
提出期限：2026/09/06 23:59
詳細：https://courses.example.invalid/demo/SIM-CLASS-021</x:v>
      </x:c>
      <x:c r="M22" s="27" t="str">
        <x:v>未確認</x:v>
      </x:c>
      <x:c r="N22" s="27" t="str"/>
      <x:c r="O22" s="27" t="str"/>
      <x:c r="P22" s="27" t="str"/>
      <x:c r="Q22" s="36" t="n">
        <x:f>'テスト設定'!$B$2</x:f>
        <x:v>46298</x:v>
      </x:c>
      <x:c r="R22" s="36" t="n">
        <x:f>'テスト設定'!$B$2</x:f>
        <x:v>46298</x:v>
      </x:c>
      <x:c r="S22" s="36" t="n">
        <x:f>IF(F22="","",IF(ISNUMBER(F22),F22+'テスト設定'!$B$6,F22))</x:f>
        <x:v>46294.62430555555</x:v>
      </x:c>
      <x:c r="T22" s="36" t="n">
        <x:f>IF(S22="","",S22)</x:f>
        <x:v>46294.62430555555</x:v>
      </x:c>
    </x:row>
    <x:row r="23" ht="34" customHeight="1">
      <x:c r="A23" s="27" t="n">
        <x:v>46274.125</x:v>
      </x:c>
      <x:c r="B23" s="27" t="str">
        <x:v>SIM-CLASS-022</x:v>
      </x:c>
      <x:c r="C23" s="27" t="str">
        <x:v>Google Classroom</x:v>
      </x:c>
      <x:c r="D23" s="27" t="str">
        <x:v>仮想心理演習</x:v>
      </x:c>
      <x:c r="E23" s="27" t="str">
        <x:v>仮想お知らせ-022</x:v>
      </x:c>
      <x:c r="F23" s="27" t="str"/>
      <x:c r="G23" s="27" t="str">
        <x:v>期限未検出・要確認</x:v>
      </x:c>
      <x:c r="H23" s="27" t="str">
        <x:v>新しいお知らせ: 仮想お知らせ-022</x:v>
      </x:c>
      <x:c r="I23" s="27" t="str">
        <x:v>架空担当B &lt;fixture-022@example.invalid&gt;</x:v>
      </x:c>
      <x:c r="J23" s="27" t="n">
        <x:v>46274.25</x:v>
      </x:c>
      <x:c r="K23" s="27" t="str">
        <x:v>https://mail.example.invalid/thread/SIM-CLASS-022</x:v>
      </x:c>
      <x:c r="L23" s="28" t="str">
        <x:v>仮想心理演習
架空担当B が新しいお知らせを投稿しました
仮想お知らせ-022
詳細：https://courses.example.invalid/demo/SIM-CLASS-022</x:v>
      </x:c>
      <x:c r="M23" s="27" t="str">
        <x:v>未確認</x:v>
      </x:c>
      <x:c r="N23" s="27" t="str"/>
      <x:c r="O23" s="27" t="str"/>
      <x:c r="P23" s="27" t="str"/>
      <x:c r="Q23" s="36" t="n">
        <x:f>'テスト設定'!$B$2</x:f>
        <x:v>46298</x:v>
      </x:c>
      <x:c r="R23" s="36" t="n">
        <x:f>'テスト設定'!$B$2</x:f>
        <x:v>46298</x:v>
      </x:c>
      <x:c r="S23" s="36" t="str">
        <x:f>IF(F23="","",IF(ISNUMBER(F23),F23+'テスト設定'!$B$6,F23))</x:f>
      </x:c>
      <x:c r="T23" s="36" t="str">
        <x:f>IF(S23="","",S23)</x:f>
      </x:c>
    </x:row>
    <x:row r="24" ht="34" customHeight="1">
      <x:c r="A24" s="27" t="n">
        <x:v>46274.166666666664</x:v>
      </x:c>
      <x:c r="B24" s="27" t="str">
        <x:v>SIM-CLASS-023</x:v>
      </x:c>
      <x:c r="C24" s="27" t="str">
        <x:v>Google Classroom</x:v>
      </x:c>
      <x:c r="D24" s="27" t="str">
        <x:v>サンプル情報設計</x:v>
      </x:c>
      <x:c r="E24" s="27" t="str">
        <x:v>仮想課題-023</x:v>
      </x:c>
      <x:c r="F24" s="27" t="n">
        <x:v>46273.62430555555</x:v>
      </x:c>
      <x:c r="G24" s="27" t="str">
        <x:v>期限検出</x:v>
      </x:c>
      <x:c r="H24" s="27" t="str">
        <x:v>新しい課題: 仮想課題-023</x:v>
      </x:c>
      <x:c r="I24" s="27" t="str">
        <x:v>架空担当C &lt;fixture-023@example.invalid&gt;</x:v>
      </x:c>
      <x:c r="J24" s="27" t="n">
        <x:v>46274.291666666664</x:v>
      </x:c>
      <x:c r="K24" s="27" t="str">
        <x:v>https://mail.example.invalid/thread/SIM-CLASS-023</x:v>
      </x:c>
      <x:c r="L24" s="28" t="str">
        <x:v>サンプル情報設計
架空担当C が新しい課題を投稿しました
仮想課題-023
提出期限：2026/09/08 23:59
詳細：https://courses.example.invalid/demo/SIM-CLASS-023</x:v>
      </x:c>
      <x:c r="M24" s="27" t="str">
        <x:v>未確認</x:v>
      </x:c>
      <x:c r="N24" s="27" t="str"/>
      <x:c r="O24" s="27" t="str"/>
      <x:c r="P24" s="27" t="str"/>
      <x:c r="Q24" s="36" t="n">
        <x:f>'テスト設定'!$B$2</x:f>
        <x:v>46298</x:v>
      </x:c>
      <x:c r="R24" s="36" t="n">
        <x:f>'テスト設定'!$B$2</x:f>
        <x:v>46298</x:v>
      </x:c>
      <x:c r="S24" s="36" t="n">
        <x:f>IF(F24="","",IF(ISNUMBER(F24),F24+'テスト設定'!$B$6,F24))</x:f>
        <x:v>46296.62430555555</x:v>
      </x:c>
      <x:c r="T24" s="36" t="n">
        <x:f>IF(S24="","",S24)</x:f>
        <x:v>46296.62430555555</x:v>
      </x:c>
    </x:row>
    <x:row r="25" ht="34" customHeight="1">
      <x:c r="A25" s="27" t="n">
        <x:v>46274.208333333336</x:v>
      </x:c>
      <x:c r="B25" s="27" t="str">
        <x:v>SIM-CLASS-024</x:v>
      </x:c>
      <x:c r="C25" s="27" t="str">
        <x:v>Google Classroom</x:v>
      </x:c>
      <x:c r="D25" s="27" t="str">
        <x:v>架空データ解析</x:v>
      </x:c>
      <x:c r="E25" s="27" t="str">
        <x:v>仮想課題-024</x:v>
      </x:c>
      <x:c r="F25" s="27" t="n">
        <x:v>46274.62430555555</x:v>
      </x:c>
      <x:c r="G25" s="27" t="str">
        <x:v>期限検出</x:v>
      </x:c>
      <x:c r="H25" s="27" t="str">
        <x:v>新しい課題: 仮想課題-024</x:v>
      </x:c>
      <x:c r="I25" s="27" t="str">
        <x:v>架空担当A &lt;fixture-024@example.invalid&gt;</x:v>
      </x:c>
      <x:c r="J25" s="27" t="n">
        <x:v>46274</x:v>
      </x:c>
      <x:c r="K25" s="27" t="str">
        <x:v>https://mail.example.invalid/thread/SIM-CLASS-024</x:v>
      </x:c>
      <x:c r="L25" s="28" t="str">
        <x:v>架空データ解析
架空担当A が新しい課題を投稿しました
仮想課題-024
提出期限：2026/09/09 23:59
詳細：https://courses.example.invalid/demo/SIM-CLASS-024</x:v>
      </x:c>
      <x:c r="M25" s="27" t="str">
        <x:v>未確認</x:v>
      </x:c>
      <x:c r="N25" s="27" t="str"/>
      <x:c r="O25" s="27" t="str"/>
      <x:c r="P25" s="27" t="str"/>
      <x:c r="Q25" s="36" t="n">
        <x:f>'テスト設定'!$B$2</x:f>
        <x:v>46298</x:v>
      </x:c>
      <x:c r="R25" s="36" t="n">
        <x:f>'テスト設定'!$B$2</x:f>
        <x:v>46298</x:v>
      </x:c>
      <x:c r="S25" s="36" t="n">
        <x:f>IF(F25="","",IF(ISNUMBER(F25),F25+'テスト設定'!$B$6,F25))</x:f>
        <x:v>46297.62430555555</x:v>
      </x:c>
      <x:c r="T25" s="36" t="n">
        <x:f>IF(S25="","",S25)</x:f>
        <x:v>46297.62430555555</x:v>
      </x:c>
    </x:row>
    <x:row r="26" ht="34" customHeight="1">
      <x:c r="A26" s="27" t="n">
        <x:v>46274.25</x:v>
      </x:c>
      <x:c r="B26" s="27" t="str">
        <x:v>SIM-CLASS-025</x:v>
      </x:c>
      <x:c r="C26" s="27" t="str">
        <x:v>Google Classroom</x:v>
      </x:c>
      <x:c r="D26" s="27" t="str">
        <x:v>仮想心理演習</x:v>
      </x:c>
      <x:c r="E26" s="27" t="str">
        <x:v>仮想課題-025</x:v>
      </x:c>
      <x:c r="F26" s="27" t="n">
        <x:v>46275.62430555555</x:v>
      </x:c>
      <x:c r="G26" s="27" t="str">
        <x:v>期限検出</x:v>
      </x:c>
      <x:c r="H26" s="27" t="str">
        <x:v>新しい課題: 仮想課題-025</x:v>
      </x:c>
      <x:c r="I26" s="27" t="str">
        <x:v>架空担当B &lt;fixture-025@example.invalid&gt;</x:v>
      </x:c>
      <x:c r="J26" s="27" t="n">
        <x:v>46274.041666666664</x:v>
      </x:c>
      <x:c r="K26" s="27" t="str">
        <x:v>https://mail.example.invalid/thread/SIM-CLASS-025</x:v>
      </x:c>
      <x:c r="L26" s="28" t="str">
        <x:v>仮想心理演習
架空担当B が新しい課題を投稿しました
仮想課題-025
提出期限：2026/09/10 23:59
詳細：https://courses.example.invalid/demo/SIM-CLASS-025</x:v>
      </x:c>
      <x:c r="M26" s="27" t="str">
        <x:v>未確認</x:v>
      </x:c>
      <x:c r="N26" s="27" t="str"/>
      <x:c r="O26" s="27" t="str"/>
      <x:c r="P26" s="27" t="str"/>
      <x:c r="Q26" s="36" t="n">
        <x:f>'テスト設定'!$B$2</x:f>
        <x:v>46298</x:v>
      </x:c>
      <x:c r="R26" s="36" t="n">
        <x:f>'テスト設定'!$B$2</x:f>
        <x:v>46298</x:v>
      </x:c>
      <x:c r="S26" s="36" t="n">
        <x:f>IF(F26="","",IF(ISNUMBER(F26),F26+'テスト設定'!$B$6,F26))</x:f>
        <x:v>46298.62430555555</x:v>
      </x:c>
      <x:c r="T26" s="36" t="n">
        <x:f>IF(S26="","",S26)</x:f>
        <x:v>46298.62430555555</x:v>
      </x:c>
    </x:row>
    <x:row r="27" ht="34" customHeight="1">
      <x:c r="A27" s="27" t="n">
        <x:v>46274.291666666664</x:v>
      </x:c>
      <x:c r="B27" s="27" t="str">
        <x:v>SIM-CLASS-026</x:v>
      </x:c>
      <x:c r="C27" s="27" t="str">
        <x:v>Google Classroom</x:v>
      </x:c>
      <x:c r="D27" s="27" t="str">
        <x:v>サンプル情報設計</x:v>
      </x:c>
      <x:c r="E27" s="27" t="str">
        <x:v>仮想課題-026</x:v>
      </x:c>
      <x:c r="F27" s="27" t="n">
        <x:v>46276.62430555555</x:v>
      </x:c>
      <x:c r="G27" s="27" t="str">
        <x:v>期限検出</x:v>
      </x:c>
      <x:c r="H27" s="27" t="str">
        <x:v>新しい課題: 仮想課題-026</x:v>
      </x:c>
      <x:c r="I27" s="27" t="str">
        <x:v>架空担当C &lt;fixture-026@example.invalid&gt;</x:v>
      </x:c>
      <x:c r="J27" s="27" t="n">
        <x:v>46274.083333333336</x:v>
      </x:c>
      <x:c r="K27" s="27" t="str">
        <x:v>https://mail.example.invalid/thread/SIM-CLASS-026</x:v>
      </x:c>
      <x:c r="L27" s="28" t="str">
        <x:v>サンプル情報設計
架空担当C が新しい課題を投稿しました
仮想課題-026
提出期限：2026/09/11 23:59
詳細：https://courses.example.invalid/demo/SIM-CLASS-026</x:v>
      </x:c>
      <x:c r="M27" s="27" t="str">
        <x:v>未確認</x:v>
      </x:c>
      <x:c r="N27" s="27" t="str"/>
      <x:c r="O27" s="27" t="str"/>
      <x:c r="P27" s="27" t="str"/>
      <x:c r="Q27" s="36" t="n">
        <x:f>'テスト設定'!$B$2</x:f>
        <x:v>46298</x:v>
      </x:c>
      <x:c r="R27" s="36" t="n">
        <x:f>'テスト設定'!$B$2</x:f>
        <x:v>46298</x:v>
      </x:c>
      <x:c r="S27" s="36" t="n">
        <x:f>IF(F27="","",IF(ISNUMBER(F27),F27+'テスト設定'!$B$6,F27))</x:f>
        <x:v>46299.62430555555</x:v>
      </x:c>
      <x:c r="T27" s="36" t="n">
        <x:f>IF(S27="","",S27)</x:f>
        <x:v>46299.62430555555</x:v>
      </x:c>
    </x:row>
    <x:row r="28" ht="34" customHeight="1">
      <x:c r="A28" s="27" t="n">
        <x:v>46273.958333333336</x:v>
      </x:c>
      <x:c r="B28" s="27" t="str">
        <x:v>SIM-CLASS-027</x:v>
      </x:c>
      <x:c r="C28" s="27" t="str">
        <x:v>Google Classroom</x:v>
      </x:c>
      <x:c r="D28" s="27" t="str">
        <x:v>架空データ解析</x:v>
      </x:c>
      <x:c r="E28" s="27" t="str">
        <x:v>仮想課題-027</x:v>
      </x:c>
      <x:c r="F28" s="27" t="n">
        <x:v>46277.62430555555</x:v>
      </x:c>
      <x:c r="G28" s="27" t="str">
        <x:v>期限検出</x:v>
      </x:c>
      <x:c r="H28" s="27" t="str">
        <x:v>新しい課題: 仮想課題-027</x:v>
      </x:c>
      <x:c r="I28" s="27" t="str">
        <x:v>架空担当A &lt;fixture-027@example.invalid&gt;</x:v>
      </x:c>
      <x:c r="J28" s="27" t="n">
        <x:v>46274.125</x:v>
      </x:c>
      <x:c r="K28" s="27" t="str">
        <x:v>https://mail.example.invalid/thread/SIM-CLASS-027</x:v>
      </x:c>
      <x:c r="L28" s="28" t="str">
        <x:v>架空データ解析
架空担当A が新しい課題を投稿しました
仮想課題-027
提出期限：2026/09/12 23:59
詳細：https://courses.example.invalid/demo/SIM-CLASS-027</x:v>
      </x:c>
      <x:c r="M28" s="27" t="str">
        <x:v>未確認</x:v>
      </x:c>
      <x:c r="N28" s="27" t="str"/>
      <x:c r="O28" s="27" t="str"/>
      <x:c r="P28" s="27" t="str"/>
      <x:c r="Q28" s="36" t="n">
        <x:f>'テスト設定'!$B$2</x:f>
        <x:v>46298</x:v>
      </x:c>
      <x:c r="R28" s="36" t="n">
        <x:f>'テスト設定'!$B$2</x:f>
        <x:v>46298</x:v>
      </x:c>
      <x:c r="S28" s="36" t="n">
        <x:f>IF(F28="","",IF(ISNUMBER(F28),F28+'テスト設定'!$B$6,F28))</x:f>
        <x:v>46300.62430555555</x:v>
      </x:c>
      <x:c r="T28" s="36" t="n">
        <x:f>IF(S28="","",S28)</x:f>
        <x:v>46300.62430555555</x:v>
      </x:c>
    </x:row>
    <x:row r="29" ht="34" customHeight="1">
      <x:c r="A29" s="27" t="n">
        <x:v>46274</x:v>
      </x:c>
      <x:c r="B29" s="27" t="str">
        <x:v>SIM-CLASS-028</x:v>
      </x:c>
      <x:c r="C29" s="27" t="str">
        <x:v>Google Classroom</x:v>
      </x:c>
      <x:c r="D29" s="27" t="str">
        <x:v>仮想心理演習</x:v>
      </x:c>
      <x:c r="E29" s="27" t="str">
        <x:v>仮想課題-028</x:v>
      </x:c>
      <x:c r="F29" s="27" t="n">
        <x:v>46278.62430555555</x:v>
      </x:c>
      <x:c r="G29" s="27" t="str">
        <x:v>期限検出</x:v>
      </x:c>
      <x:c r="H29" s="27" t="str">
        <x:v>新しい課題: 仮想課題-028</x:v>
      </x:c>
      <x:c r="I29" s="27" t="str">
        <x:v>架空担当B &lt;fixture-028@example.invalid&gt;</x:v>
      </x:c>
      <x:c r="J29" s="27" t="n">
        <x:v>46274.166666666664</x:v>
      </x:c>
      <x:c r="K29" s="27" t="str">
        <x:v>https://mail.example.invalid/thread/SIM-CLASS-028</x:v>
      </x:c>
      <x:c r="L29" s="28" t="str">
        <x:v>仮想心理演習
架空担当B が新しい課題を投稿しました
仮想課題-028
提出期限：2026/09/13 23:59
詳細：https://courses.example.invalid/demo/SIM-CLASS-028</x:v>
      </x:c>
      <x:c r="M29" s="27" t="str">
        <x:v>未確認</x:v>
      </x:c>
      <x:c r="N29" s="27" t="str"/>
      <x:c r="O29" s="27" t="str"/>
      <x:c r="P29" s="27" t="str"/>
      <x:c r="Q29" s="36" t="n">
        <x:f>'テスト設定'!$B$2</x:f>
        <x:v>46298</x:v>
      </x:c>
      <x:c r="R29" s="36" t="n">
        <x:f>'テスト設定'!$B$2</x:f>
        <x:v>46298</x:v>
      </x:c>
      <x:c r="S29" s="36" t="n">
        <x:f>IF(F29="","",IF(ISNUMBER(F29),F29+'テスト設定'!$B$6,F29))</x:f>
        <x:v>46301.62430555555</x:v>
      </x:c>
      <x:c r="T29" s="36" t="n">
        <x:f>IF(S29="","",S29)</x:f>
        <x:v>46301.62430555555</x:v>
      </x:c>
    </x:row>
    <x:row r="30" ht="34" customHeight="1">
      <x:c r="A30" s="27" t="n">
        <x:v>46274.041666666664</x:v>
      </x:c>
      <x:c r="B30" s="27" t="str">
        <x:v>SIM-CLASS-029</x:v>
      </x:c>
      <x:c r="C30" s="27" t="str">
        <x:v>Google Classroom</x:v>
      </x:c>
      <x:c r="D30" s="27" t="str">
        <x:v>サンプル情報設計</x:v>
      </x:c>
      <x:c r="E30" s="27" t="str">
        <x:v>仮想課題-029</x:v>
      </x:c>
      <x:c r="F30" s="27" t="n">
        <x:v>46279.62430555555</x:v>
      </x:c>
      <x:c r="G30" s="27" t="str">
        <x:v>期限検出</x:v>
      </x:c>
      <x:c r="H30" s="27" t="str">
        <x:v>新しい課題: 仮想課題-029</x:v>
      </x:c>
      <x:c r="I30" s="27" t="str">
        <x:v>架空担当C &lt;fixture-029@example.invalid&gt;</x:v>
      </x:c>
      <x:c r="J30" s="27" t="n">
        <x:v>46274.208333333336</x:v>
      </x:c>
      <x:c r="K30" s="27" t="str">
        <x:v>https://mail.example.invalid/thread/SIM-CLASS-029</x:v>
      </x:c>
      <x:c r="L30" s="28" t="str">
        <x:v>サンプル情報設計
架空担当C が新しい課題を投稿しました
仮想課題-029
提出期限：2026/09/14 23:59
詳細：https://courses.example.invalid/demo/SIM-CLASS-029</x:v>
      </x:c>
      <x:c r="M30" s="27" t="str">
        <x:v>未確認</x:v>
      </x:c>
      <x:c r="N30" s="27" t="str"/>
      <x:c r="O30" s="27" t="str"/>
      <x:c r="P30" s="27" t="str"/>
      <x:c r="Q30" s="36" t="n">
        <x:f>'テスト設定'!$B$2</x:f>
        <x:v>46298</x:v>
      </x:c>
      <x:c r="R30" s="36" t="n">
        <x:f>'テスト設定'!$B$2</x:f>
        <x:v>46298</x:v>
      </x:c>
      <x:c r="S30" s="36" t="n">
        <x:f>IF(F30="","",IF(ISNUMBER(F30),F30+'テスト設定'!$B$6,F30))</x:f>
        <x:v>46302.62430555555</x:v>
      </x:c>
      <x:c r="T30" s="36" t="n">
        <x:f>IF(S30="","",S30)</x:f>
        <x:v>46302.62430555555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20" hidden="0" customWidth="1"/>
    <x:col min="3" max="3" width="20" hidden="0" customWidth="1"/>
    <x:col min="4" max="4" width="42" hidden="0" customWidth="1"/>
    <x:col min="5" max="5" width="48" hidden="0" customWidth="1"/>
    <x:col min="6" max="6" width="21" hidden="0" customWidth="1"/>
    <x:col min="7" max="7" width="24" hidden="0" customWidth="1"/>
    <x:col min="8" max="8" width="36" hidden="0" customWidth="1"/>
    <x:col min="9" max="9" width="28" hidden="0" customWidth="1"/>
    <x:col min="10" max="10" width="21" hidden="0" customWidth="1"/>
    <x:col min="11" max="11" width="44" hidden="0" customWidth="1"/>
    <x:col min="12" max="12" width="56" hidden="0" customWidth="1"/>
    <x:col min="13" max="13" width="18" hidden="0" customWidth="1"/>
    <x:col min="14" max="14" width="21" hidden="0" customWidth="1"/>
    <x:col min="15" max="15" width="24" hidden="0" customWidth="1"/>
    <x:col min="16" max="16" width="38" hidden="0" customWidth="1"/>
    <x:col min="17" max="17" width="24" hidden="0" customWidth="1"/>
    <x:col min="18" max="18" width="24" hidden="0" customWidth="1"/>
    <x:col min="19" max="19" width="24" hidden="0" customWidth="1"/>
    <x:col min="20" max="20" width="26" hidden="0" customWidth="1"/>
  </x:cols>
  <x:sheetData>
    <x:row r="1">
      <x:c r="A1" s="33" t="str">
        <x:v>保存日時</x:v>
      </x:c>
      <x:c r="B1" s="33" t="str">
        <x:v>メッセージID</x:v>
      </x:c>
      <x:c r="C1" s="33" t="str">
        <x:v>通知元</x:v>
      </x:c>
      <x:c r="D1" s="33" t="str">
        <x:v>授業名</x:v>
      </x:c>
      <x:c r="E1" s="33" t="str">
        <x:v>課題・通知タイトル</x:v>
      </x:c>
      <x:c r="F1" s="33" t="str">
        <x:v>期限</x:v>
      </x:c>
      <x:c r="G1" s="33" t="str">
        <x:v>期限状態</x:v>
      </x:c>
      <x:c r="H1" s="33" t="str">
        <x:v>メール件名</x:v>
      </x:c>
      <x:c r="I1" s="33" t="str">
        <x:v>送信者</x:v>
      </x:c>
      <x:c r="J1" s="33" t="str">
        <x:v>受信日時</x:v>
      </x:c>
      <x:c r="K1" s="33" t="str">
        <x:v>Gmailリンク</x:v>
      </x:c>
      <x:c r="L1" s="33" t="str">
        <x:v>本文</x:v>
      </x:c>
      <x:c r="M1" s="33" t="str">
        <x:v>確認状態</x:v>
      </x:c>
      <x:c r="N1" s="33" t="str">
        <x:v>完了日時</x:v>
      </x:c>
      <x:c r="O1" s="33" t="str">
        <x:v>更新レコード状態</x:v>
      </x:c>
      <x:c r="P1" s="33" t="str">
        <x:v>適用済み提出記録</x:v>
      </x:c>
      <x:c r="Q1" s="35" t="str">
        <x:v>テスト保存日時</x:v>
      </x:c>
      <x:c r="R1" s="35" t="str">
        <x:v>テスト受信日時</x:v>
      </x:c>
      <x:c r="S1" s="35" t="str">
        <x:v>テスト期限（保存値）</x:v>
      </x:c>
      <x:c r="T1" s="35" t="str">
        <x:v>テスト期限（アプリ表示）</x:v>
      </x:c>
    </x:row>
    <x:row r="2" ht="34" customHeight="1">
      <x:c r="A2" s="27" t="n">
        <x:v>46274</x:v>
      </x:c>
      <x:c r="B2" s="27" t="str">
        <x:v>SIM-INCA-001</x:v>
      </x:c>
      <x:c r="C2" s="27" t="str">
        <x:v>inCampus</x:v>
      </x:c>
      <x:c r="D2" s="27" t="str">
        <x:v>仮想心理演習</x:v>
      </x:c>
      <x:c r="E2" s="27" t="str">
        <x:v>仮想課題-001</x:v>
      </x:c>
      <x:c r="F2" s="27" t="n">
        <x:v>46269.62430555555</x:v>
      </x:c>
      <x:c r="G2" s="27" t="str">
        <x:v>期限検出</x:v>
      </x:c>
      <x:c r="H2" s="27" t="str">
        <x:v>新しい課題: 仮想課題-001</x:v>
      </x:c>
      <x:c r="I2" s="27" t="str">
        <x:v>架空担当B &lt;fixture-001@example.invalid&gt;</x:v>
      </x:c>
      <x:c r="J2" s="27" t="n">
        <x:v>46274.041666666664</x:v>
      </x:c>
      <x:c r="K2" s="27" t="str">
        <x:v>https://mail.example.invalid/thread/SIM-INCA-001</x:v>
      </x:c>
      <x:c r="L2" s="28" t="str">
        <x:v>履修者：SIM-000001
曜日・時限：火曜3限
授業名：仮想心理演習
教員名：架空担当B
更新内容：
・課題（仮想課題-001）が追加されました。（2026/09/10 08:00）
参照：https://portal.example.invalid/demo/SIM-INCA-001</x:v>
      </x:c>
      <x:c r="M2" s="27" t="str">
        <x:v>未確認</x:v>
      </x:c>
      <x:c r="N2" s="27" t="str"/>
      <x:c r="O2" s="27" t="str"/>
      <x:c r="P2" s="27" t="str"/>
      <x:c r="Q2" s="36" t="n">
        <x:f>'テスト設定'!$B$2</x:f>
        <x:v>46298</x:v>
      </x:c>
      <x:c r="R2" s="36" t="n">
        <x:f>'テスト設定'!$B$2</x:f>
        <x:v>46298</x:v>
      </x:c>
      <x:c r="S2" s="36" t="n">
        <x:f>IF(F2="","",IF(ISNUMBER(F2),F2+'テスト設定'!$B$6,F2))</x:f>
        <x:v>46292.62430555555</x:v>
      </x:c>
      <x:c r="T2" s="36" t="n">
        <x:f>IF(S2="","",S2)</x:f>
        <x:v>46292.62430555555</x:v>
      </x:c>
    </x:row>
    <x:row r="3" ht="34" customHeight="1">
      <x:c r="A3" s="27" t="n">
        <x:v>46274.041666666664</x:v>
      </x:c>
      <x:c r="B3" s="27" t="str">
        <x:v>SIM-INCA-002</x:v>
      </x:c>
      <x:c r="C3" s="27" t="str">
        <x:v>inCampus</x:v>
      </x:c>
      <x:c r="D3" s="27" t="str">
        <x:v>サンプル情報設計</x:v>
      </x:c>
      <x:c r="E3" s="27" t="str">
        <x:v>仮想課題-002</x:v>
      </x:c>
      <x:c r="F3" s="27" t="n">
        <x:v>46270.62430555555</x:v>
      </x:c>
      <x:c r="G3" s="27" t="str">
        <x:v>期限検出</x:v>
      </x:c>
      <x:c r="H3" s="27" t="str">
        <x:v>新しい課題: 仮想課題-002</x:v>
      </x:c>
      <x:c r="I3" s="27" t="str">
        <x:v>架空担当C &lt;fixture-002@example.invalid&gt;</x:v>
      </x:c>
      <x:c r="J3" s="27" t="n">
        <x:v>46274.083333333336</x:v>
      </x:c>
      <x:c r="K3" s="27" t="str">
        <x:v>https://mail.example.invalid/thread/SIM-INCA-002</x:v>
      </x:c>
      <x:c r="L3" s="28" t="str">
        <x:v>履修者：SIM-000002
曜日・時限：金曜2限
授業名：サンプル情報設計
教員名：架空担当C
更新内容：
・課題（仮想課題-002）が追加されました。（2026/09/10 08:00）
参照：https://portal.example.invalid/demo/SIM-INCA-002</x:v>
      </x:c>
      <x:c r="M3" s="27" t="str">
        <x:v>未確認</x:v>
      </x:c>
      <x:c r="N3" s="27" t="str"/>
      <x:c r="O3" s="27" t="str"/>
      <x:c r="P3" s="27" t="str"/>
      <x:c r="Q3" s="36" t="n">
        <x:f>'テスト設定'!$B$2</x:f>
        <x:v>46298</x:v>
      </x:c>
      <x:c r="R3" s="36" t="n">
        <x:f>'テスト設定'!$B$2</x:f>
        <x:v>46298</x:v>
      </x:c>
      <x:c r="S3" s="36" t="n">
        <x:f>IF(F3="","",IF(ISNUMBER(F3),F3+'テスト設定'!$B$6,F3))</x:f>
        <x:v>46293.62430555555</x:v>
      </x:c>
      <x:c r="T3" s="36" t="n">
        <x:f>IF(S3="","",S3)</x:f>
        <x:v>46293.62430555555</x:v>
      </x:c>
    </x:row>
    <x:row r="4" ht="34" customHeight="1">
      <x:c r="A4" s="27" t="n">
        <x:v>46274.083333333336</x:v>
      </x:c>
      <x:c r="B4" s="27" t="str">
        <x:v>SIM-INCA-003</x:v>
      </x:c>
      <x:c r="C4" s="27" t="str">
        <x:v>inCampus</x:v>
      </x:c>
      <x:c r="D4" s="27" t="str">
        <x:v>架空データ解析</x:v>
      </x:c>
      <x:c r="E4" s="27" t="str">
        <x:v>仮想課題-003</x:v>
      </x:c>
      <x:c r="F4" s="27" t="n">
        <x:v>46271.62430555555</x:v>
      </x:c>
      <x:c r="G4" s="27" t="str">
        <x:v>期限検出</x:v>
      </x:c>
      <x:c r="H4" s="27" t="str">
        <x:v>新しい課題: 仮想課題-003</x:v>
      </x:c>
      <x:c r="I4" s="27" t="str">
        <x:v>架空担当A &lt;fixture-003@example.invalid&gt;</x:v>
      </x:c>
      <x:c r="J4" s="27" t="n">
        <x:v>46274.125</x:v>
      </x:c>
      <x:c r="K4" s="27" t="str">
        <x:v>https://mail.example.invalid/thread/SIM-INCA-003</x:v>
      </x:c>
      <x:c r="L4" s="28" t="str">
        <x:v>履修者：SIM-000003
曜日・時限：月曜1限
授業名：架空データ解析
教員名：架空担当A
更新内容：
・課題（仮想課題-003）が追加されました。（2026/09/10 08:00）
参照：https://portal.example.invalid/demo/SIM-INCA-003</x:v>
      </x:c>
      <x:c r="M4" s="27" t="str">
        <x:v>未確認</x:v>
      </x:c>
      <x:c r="N4" s="27" t="str"/>
      <x:c r="O4" s="27" t="str"/>
      <x:c r="P4" s="27" t="str"/>
      <x:c r="Q4" s="36" t="n">
        <x:f>'テスト設定'!$B$2</x:f>
        <x:v>46298</x:v>
      </x:c>
      <x:c r="R4" s="36" t="n">
        <x:f>'テスト設定'!$B$2</x:f>
        <x:v>46298</x:v>
      </x:c>
      <x:c r="S4" s="36" t="n">
        <x:f>IF(F4="","",IF(ISNUMBER(F4),F4+'テスト設定'!$B$6,F4))</x:f>
        <x:v>46294.62430555555</x:v>
      </x:c>
      <x:c r="T4" s="36" t="n">
        <x:f>IF(S4="","",S4)</x:f>
        <x:v>46294.62430555555</x:v>
      </x:c>
    </x:row>
    <x:row r="5" ht="34" customHeight="1">
      <x:c r="A5" s="27" t="n">
        <x:v>46274.125</x:v>
      </x:c>
      <x:c r="B5" s="27" t="str">
        <x:v>SIM-INCA-004</x:v>
      </x:c>
      <x:c r="C5" s="27" t="str">
        <x:v>inCampus</x:v>
      </x:c>
      <x:c r="D5" s="27" t="str">
        <x:v>仮想心理演習</x:v>
      </x:c>
      <x:c r="E5" s="27" t="str">
        <x:v>仮想課題-004</x:v>
      </x:c>
      <x:c r="F5" s="27" t="n">
        <x:v>46272.62430555555</x:v>
      </x:c>
      <x:c r="G5" s="27" t="str">
        <x:v>期限検出</x:v>
      </x:c>
      <x:c r="H5" s="27" t="str">
        <x:v>新しい課題: 仮想課題-004</x:v>
      </x:c>
      <x:c r="I5" s="27" t="str">
        <x:v>架空担当B &lt;fixture-004@example.invalid&gt;</x:v>
      </x:c>
      <x:c r="J5" s="27" t="n">
        <x:v>46274.166666666664</x:v>
      </x:c>
      <x:c r="K5" s="27" t="str">
        <x:v>https://mail.example.invalid/thread/SIM-INCA-004</x:v>
      </x:c>
      <x:c r="L5" s="28" t="str">
        <x:v>履修者：SIM-000004
曜日・時限：火曜3限
授業名：仮想心理演習
教員名：架空担当B
更新内容：
・課題（仮想課題-004）が追加されました。（2026/09/10 08:00）
参照：https://portal.example.invalid/demo/SIM-INCA-004</x:v>
      </x:c>
      <x:c r="M5" s="27" t="str">
        <x:v>未確認</x:v>
      </x:c>
      <x:c r="N5" s="27" t="str"/>
      <x:c r="O5" s="27" t="str"/>
      <x:c r="P5" s="27" t="str"/>
      <x:c r="Q5" s="36" t="n">
        <x:f>'テスト設定'!$B$2</x:f>
        <x:v>46298</x:v>
      </x:c>
      <x:c r="R5" s="36" t="n">
        <x:f>'テスト設定'!$B$2</x:f>
        <x:v>46298</x:v>
      </x:c>
      <x:c r="S5" s="36" t="n">
        <x:f>IF(F5="","",IF(ISNUMBER(F5),F5+'テスト設定'!$B$6,F5))</x:f>
        <x:v>46295.62430555555</x:v>
      </x:c>
      <x:c r="T5" s="36" t="n">
        <x:f>IF(S5="","",S5)</x:f>
        <x:v>46295.62430555555</x:v>
      </x:c>
    </x:row>
    <x:row r="6" ht="34" customHeight="1">
      <x:c r="A6" s="27" t="n">
        <x:v>46274.166666666664</x:v>
      </x:c>
      <x:c r="B6" s="27" t="str">
        <x:v>SIM-INCA-005</x:v>
      </x:c>
      <x:c r="C6" s="27" t="str">
        <x:v>inCampus</x:v>
      </x:c>
      <x:c r="D6" s="27" t="str">
        <x:v>サンプル情報設計</x:v>
      </x:c>
      <x:c r="E6" s="27" t="str">
        <x:v>仮想課題-005</x:v>
      </x:c>
      <x:c r="F6" s="27" t="n">
        <x:v>46273.62430555555</x:v>
      </x:c>
      <x:c r="G6" s="27" t="str">
        <x:v>期限検出</x:v>
      </x:c>
      <x:c r="H6" s="27" t="str">
        <x:v>新しい課題: 仮想課題-005</x:v>
      </x:c>
      <x:c r="I6" s="27" t="str">
        <x:v>架空担当C &lt;fixture-005@example.invalid&gt;</x:v>
      </x:c>
      <x:c r="J6" s="27" t="n">
        <x:v>46274.208333333336</x:v>
      </x:c>
      <x:c r="K6" s="27" t="str">
        <x:v>https://mail.example.invalid/thread/SIM-INCA-005</x:v>
      </x:c>
      <x:c r="L6" s="28" t="str">
        <x:v>履修者：SIM-000005
曜日・時限：金曜2限
授業名：サンプル情報設計
教員名：架空担当C
更新内容：
・課題（仮想課題-005）が追加されました。（2026/09/10 08:00）
参照：https://portal.example.invalid/demo/SIM-INCA-005</x:v>
      </x:c>
      <x:c r="M6" s="27" t="str">
        <x:v>未確認</x:v>
      </x:c>
      <x:c r="N6" s="27" t="str"/>
      <x:c r="O6" s="27" t="str"/>
      <x:c r="P6" s="27" t="str"/>
      <x:c r="Q6" s="36" t="n">
        <x:f>'テスト設定'!$B$2</x:f>
        <x:v>46298</x:v>
      </x:c>
      <x:c r="R6" s="36" t="n">
        <x:f>'テスト設定'!$B$2</x:f>
        <x:v>46298</x:v>
      </x:c>
      <x:c r="S6" s="36" t="n">
        <x:f>IF(F6="","",IF(ISNUMBER(F6),F6+'テスト設定'!$B$6,F6))</x:f>
        <x:v>46296.62430555555</x:v>
      </x:c>
      <x:c r="T6" s="36" t="n">
        <x:f>IF(S6="","",S6)</x:f>
        <x:v>46296.62430555555</x:v>
      </x:c>
    </x:row>
    <x:row r="7" ht="34" customHeight="1">
      <x:c r="A7" s="27" t="n">
        <x:v>46274.208333333336</x:v>
      </x:c>
      <x:c r="B7" s="27" t="str">
        <x:v>SIM-INCA-006</x:v>
      </x:c>
      <x:c r="C7" s="27" t="str">
        <x:v>inCampus</x:v>
      </x:c>
      <x:c r="D7" s="27" t="str">
        <x:v>架空データ解析</x:v>
      </x:c>
      <x:c r="E7" s="27" t="str">
        <x:v>仮想課題-006</x:v>
      </x:c>
      <x:c r="F7" s="27" t="n">
        <x:v>46274.62430555555</x:v>
      </x:c>
      <x:c r="G7" s="27" t="str">
        <x:v>期限検出</x:v>
      </x:c>
      <x:c r="H7" s="27" t="str">
        <x:v>新しい課題: 仮想課題-006</x:v>
      </x:c>
      <x:c r="I7" s="27" t="str">
        <x:v>架空担当A &lt;fixture-006@example.invalid&gt;</x:v>
      </x:c>
      <x:c r="J7" s="27" t="n">
        <x:v>46274.25</x:v>
      </x:c>
      <x:c r="K7" s="27" t="str">
        <x:v>https://mail.example.invalid/thread/SIM-INCA-006</x:v>
      </x:c>
      <x:c r="L7" s="28" t="str">
        <x:v>履修者：SIM-000006
曜日・時限：月曜1限
授業名：架空データ解析
教員名：架空担当A
更新内容：
・課題（仮想課題-006）が追加されました。（2026/09/10 08:00）
参照：https://portal.example.invalid/demo/SIM-INCA-006</x:v>
      </x:c>
      <x:c r="M7" s="27" t="str">
        <x:v>未確認</x:v>
      </x:c>
      <x:c r="N7" s="27" t="str"/>
      <x:c r="O7" s="27" t="str"/>
      <x:c r="P7" s="27" t="str"/>
      <x:c r="Q7" s="36" t="n">
        <x:f>'テスト設定'!$B$2</x:f>
        <x:v>46298</x:v>
      </x:c>
      <x:c r="R7" s="36" t="n">
        <x:f>'テスト設定'!$B$2</x:f>
        <x:v>46298</x:v>
      </x:c>
      <x:c r="S7" s="36" t="n">
        <x:f>IF(F7="","",IF(ISNUMBER(F7),F7+'テスト設定'!$B$6,F7))</x:f>
        <x:v>46297.62430555555</x:v>
      </x:c>
      <x:c r="T7" s="36" t="n">
        <x:f>IF(S7="","",S7)</x:f>
        <x:v>46297.62430555555</x:v>
      </x:c>
    </x:row>
    <x:row r="8" ht="34" customHeight="1">
      <x:c r="A8" s="27" t="n">
        <x:v>46274.25</x:v>
      </x:c>
      <x:c r="B8" s="27" t="str">
        <x:v>SIM-INCA-007</x:v>
      </x:c>
      <x:c r="C8" s="27" t="str">
        <x:v>inCampus</x:v>
      </x:c>
      <x:c r="D8" s="27" t="str">
        <x:v>仮想心理演習</x:v>
      </x:c>
      <x:c r="E8" s="27" t="str">
        <x:v>仮想課題-007</x:v>
      </x:c>
      <x:c r="F8" s="27" t="n">
        <x:v>46275.62430555555</x:v>
      </x:c>
      <x:c r="G8" s="27" t="str">
        <x:v>期限検出</x:v>
      </x:c>
      <x:c r="H8" s="27" t="str">
        <x:v>新しい課題: 仮想課題-007</x:v>
      </x:c>
      <x:c r="I8" s="27" t="str">
        <x:v>架空担当B &lt;fixture-007@example.invalid&gt;</x:v>
      </x:c>
      <x:c r="J8" s="27" t="n">
        <x:v>46274.291666666664</x:v>
      </x:c>
      <x:c r="K8" s="27" t="str">
        <x:v>https://mail.example.invalid/thread/SIM-INCA-007</x:v>
      </x:c>
      <x:c r="L8" s="28" t="str">
        <x:v>履修者：SIM-000007
曜日・時限：火曜3限
授業名：仮想心理演習
教員名：架空担当B
更新内容：
・課題（仮想課題-007）が追加されました。（2026/09/10 08:00）
参照：https://portal.example.invalid/demo/SIM-INCA-007</x:v>
      </x:c>
      <x:c r="M8" s="27" t="str">
        <x:v>未確認</x:v>
      </x:c>
      <x:c r="N8" s="27" t="str"/>
      <x:c r="O8" s="27" t="str"/>
      <x:c r="P8" s="27" t="str"/>
      <x:c r="Q8" s="36" t="n">
        <x:f>'テスト設定'!$B$2</x:f>
        <x:v>46298</x:v>
      </x:c>
      <x:c r="R8" s="36" t="n">
        <x:f>'テスト設定'!$B$2</x:f>
        <x:v>46298</x:v>
      </x:c>
      <x:c r="S8" s="36" t="n">
        <x:f>IF(F8="","",IF(ISNUMBER(F8),F8+'テスト設定'!$B$6,F8))</x:f>
        <x:v>46298.62430555555</x:v>
      </x:c>
      <x:c r="T8" s="36" t="n">
        <x:f>IF(S8="","",S8)</x:f>
        <x:v>46298.62430555555</x:v>
      </x:c>
    </x:row>
    <x:row r="9" ht="34" customHeight="1">
      <x:c r="A9" s="27" t="n">
        <x:v>46274.291666666664</x:v>
      </x:c>
      <x:c r="B9" s="27" t="str">
        <x:v>SIM-INCA-008</x:v>
      </x:c>
      <x:c r="C9" s="27" t="str">
        <x:v>inCampus</x:v>
      </x:c>
      <x:c r="D9" s="27" t="str">
        <x:v>サンプル情報設計</x:v>
      </x:c>
      <x:c r="E9" s="27" t="str">
        <x:v>仮想課題-008</x:v>
      </x:c>
      <x:c r="F9" s="27" t="n">
        <x:v>46276.62430555555</x:v>
      </x:c>
      <x:c r="G9" s="27" t="str">
        <x:v>期限検出</x:v>
      </x:c>
      <x:c r="H9" s="27" t="str">
        <x:v>新しい課題: 仮想課題-008</x:v>
      </x:c>
      <x:c r="I9" s="27" t="str">
        <x:v>架空担当C &lt;fixture-008@example.invalid&gt;</x:v>
      </x:c>
      <x:c r="J9" s="27" t="n">
        <x:v>46274</x:v>
      </x:c>
      <x:c r="K9" s="27" t="str">
        <x:v>https://mail.example.invalid/thread/SIM-INCA-008</x:v>
      </x:c>
      <x:c r="L9" s="28" t="str">
        <x:v>履修者：SIM-000008
曜日・時限：金曜2限
授業名：サンプル情報設計
教員名：架空担当C
更新内容：
・課題（仮想課題-008）が追加されました。（2026/09/10 08:00）
参照：https://portal.example.invalid/demo/SIM-INCA-008</x:v>
      </x:c>
      <x:c r="M9" s="27" t="str">
        <x:v>未確認</x:v>
      </x:c>
      <x:c r="N9" s="27" t="str"/>
      <x:c r="O9" s="27" t="str"/>
      <x:c r="P9" s="27" t="str"/>
      <x:c r="Q9" s="36" t="n">
        <x:f>'テスト設定'!$B$2</x:f>
        <x:v>46298</x:v>
      </x:c>
      <x:c r="R9" s="36" t="n">
        <x:f>'テスト設定'!$B$2</x:f>
        <x:v>46298</x:v>
      </x:c>
      <x:c r="S9" s="36" t="n">
        <x:f>IF(F9="","",IF(ISNUMBER(F9),F9+'テスト設定'!$B$6,F9))</x:f>
        <x:v>46299.62430555555</x:v>
      </x:c>
      <x:c r="T9" s="36" t="n">
        <x:f>IF(S9="","",S9)</x:f>
        <x:v>46299.62430555555</x:v>
      </x:c>
    </x:row>
    <x:row r="10" ht="34" customHeight="1">
      <x:c r="A10" s="27" t="n">
        <x:v>46273.958333333336</x:v>
      </x:c>
      <x:c r="B10" s="27" t="str">
        <x:v>SIM-INCA-009</x:v>
      </x:c>
      <x:c r="C10" s="27" t="str">
        <x:v>inCampus</x:v>
      </x:c>
      <x:c r="D10" s="27" t="str">
        <x:v>架空データ解析</x:v>
      </x:c>
      <x:c r="E10" s="27" t="str">
        <x:v>仮想課題-009</x:v>
      </x:c>
      <x:c r="F10" s="27" t="n">
        <x:v>46277.62430555555</x:v>
      </x:c>
      <x:c r="G10" s="27" t="str">
        <x:v>期限検出</x:v>
      </x:c>
      <x:c r="H10" s="27" t="str">
        <x:v>新しい課題: 仮想課題-009</x:v>
      </x:c>
      <x:c r="I10" s="27" t="str">
        <x:v>架空担当A &lt;fixture-009@example.invalid&gt;</x:v>
      </x:c>
      <x:c r="J10" s="27" t="n">
        <x:v>46274.041666666664</x:v>
      </x:c>
      <x:c r="K10" s="27" t="str">
        <x:v>https://mail.example.invalid/thread/SIM-INCA-009</x:v>
      </x:c>
      <x:c r="L10" s="28" t="str">
        <x:v>履修者：SIM-000009
曜日・時限：月曜1限
授業名：架空データ解析
教員名：架空担当A
更新内容：
・課題（仮想課題-009）が追加されました。（2026/09/10 08:00）
参照：https://portal.example.invalid/demo/SIM-INCA-009</x:v>
      </x:c>
      <x:c r="M10" s="27" t="str">
        <x:v>未確認</x:v>
      </x:c>
      <x:c r="N10" s="27" t="str"/>
      <x:c r="O10" s="27" t="str"/>
      <x:c r="P10" s="27" t="str"/>
      <x:c r="Q10" s="36" t="n">
        <x:f>'テスト設定'!$B$2</x:f>
        <x:v>46298</x:v>
      </x:c>
      <x:c r="R10" s="36" t="n">
        <x:f>'テスト設定'!$B$2</x:f>
        <x:v>46298</x:v>
      </x:c>
      <x:c r="S10" s="36" t="n">
        <x:f>IF(F10="","",IF(ISNUMBER(F10),F10+'テスト設定'!$B$6,F10))</x:f>
        <x:v>46300.62430555555</x:v>
      </x:c>
      <x:c r="T10" s="36" t="n">
        <x:f>IF(S10="","",S10)</x:f>
        <x:v>46300.62430555555</x:v>
      </x:c>
    </x:row>
    <x:row r="11" ht="34" customHeight="1">
      <x:c r="A11" s="27" t="n">
        <x:v>46274</x:v>
      </x:c>
      <x:c r="B11" s="27" t="str">
        <x:v>SIM-INCA-010</x:v>
      </x:c>
      <x:c r="C11" s="27" t="str">
        <x:v>inCampus</x:v>
      </x:c>
      <x:c r="D11" s="27" t="str">
        <x:v>仮想心理演習</x:v>
      </x:c>
      <x:c r="E11" s="27" t="str">
        <x:v>仮想課題-010</x:v>
      </x:c>
      <x:c r="F11" s="27" t="n">
        <x:v>46278.62430555555</x:v>
      </x:c>
      <x:c r="G11" s="27" t="str">
        <x:v>期限検出</x:v>
      </x:c>
      <x:c r="H11" s="27" t="str">
        <x:v>新しい課題: 仮想課題-010</x:v>
      </x:c>
      <x:c r="I11" s="27" t="str">
        <x:v>架空担当B &lt;fixture-010@example.invalid&gt;</x:v>
      </x:c>
      <x:c r="J11" s="27" t="n">
        <x:v>46274.083333333336</x:v>
      </x:c>
      <x:c r="K11" s="27" t="str">
        <x:v>https://mail.example.invalid/thread/SIM-INCA-010</x:v>
      </x:c>
      <x:c r="L11" s="28" t="str">
        <x:v>履修者：SIM-000010
曜日・時限：火曜3限
授業名：仮想心理演習
教員名：架空担当B
更新内容：
・課題（仮想課題-010）が追加されました。（2026/09/10 08:00）
参照：https://portal.example.invalid/demo/SIM-INCA-010</x:v>
      </x:c>
      <x:c r="M11" s="27" t="str">
        <x:v>未確認</x:v>
      </x:c>
      <x:c r="N11" s="27" t="str"/>
      <x:c r="O11" s="27" t="str"/>
      <x:c r="P11" s="27" t="str"/>
      <x:c r="Q11" s="36" t="n">
        <x:f>'テスト設定'!$B$2</x:f>
        <x:v>46298</x:v>
      </x:c>
      <x:c r="R11" s="36" t="n">
        <x:f>'テスト設定'!$B$2</x:f>
        <x:v>46298</x:v>
      </x:c>
      <x:c r="S11" s="36" t="n">
        <x:f>IF(F11="","",IF(ISNUMBER(F11),F11+'テスト設定'!$B$6,F11))</x:f>
        <x:v>46301.62430555555</x:v>
      </x:c>
      <x:c r="T11" s="36" t="n">
        <x:f>IF(S11="","",S11)</x:f>
        <x:v>46301.62430555555</x:v>
      </x:c>
    </x:row>
    <x:row r="12" ht="34" customHeight="1">
      <x:c r="A12" s="27" t="n">
        <x:v>46274.041666666664</x:v>
      </x:c>
      <x:c r="B12" s="27" t="str">
        <x:v>SIM-INCA-011</x:v>
      </x:c>
      <x:c r="C12" s="27" t="str">
        <x:v>inCampus</x:v>
      </x:c>
      <x:c r="D12" s="27" t="str">
        <x:v>サンプル情報設計</x:v>
      </x:c>
      <x:c r="E12" s="27" t="str">
        <x:v>仮想課題-011</x:v>
      </x:c>
      <x:c r="F12" s="27" t="n">
        <x:v>46279.62430555555</x:v>
      </x:c>
      <x:c r="G12" s="27" t="str">
        <x:v>期限検出</x:v>
      </x:c>
      <x:c r="H12" s="27" t="str">
        <x:v>新しい課題: 仮想課題-011</x:v>
      </x:c>
      <x:c r="I12" s="27" t="str">
        <x:v>架空担当C &lt;fixture-011@example.invalid&gt;</x:v>
      </x:c>
      <x:c r="J12" s="27" t="n">
        <x:v>46274.125</x:v>
      </x:c>
      <x:c r="K12" s="27" t="str">
        <x:v>https://mail.example.invalid/thread/SIM-INCA-011</x:v>
      </x:c>
      <x:c r="L12" s="28" t="str">
        <x:v>履修者：SIM-000011
曜日・時限：金曜2限
授業名：サンプル情報設計
教員名：架空担当C
更新内容：
・課題（仮想課題-011）が追加されました。（2026/09/10 08:00）
参照：https://portal.example.invalid/demo/SIM-INCA-011</x:v>
      </x:c>
      <x:c r="M12" s="27" t="str">
        <x:v>未確認</x:v>
      </x:c>
      <x:c r="N12" s="27" t="str"/>
      <x:c r="O12" s="27" t="str"/>
      <x:c r="P12" s="27" t="str"/>
      <x:c r="Q12" s="36" t="n">
        <x:f>'テスト設定'!$B$2</x:f>
        <x:v>46298</x:v>
      </x:c>
      <x:c r="R12" s="36" t="n">
        <x:f>'テスト設定'!$B$2</x:f>
        <x:v>46298</x:v>
      </x:c>
      <x:c r="S12" s="36" t="n">
        <x:f>IF(F12="","",IF(ISNUMBER(F12),F12+'テスト設定'!$B$6,F12))</x:f>
        <x:v>46302.62430555555</x:v>
      </x:c>
      <x:c r="T12" s="36" t="n">
        <x:f>IF(S12="","",S12)</x:f>
        <x:v>46302.62430555555</x:v>
      </x:c>
    </x:row>
    <x:row r="13" ht="34" customHeight="1">
      <x:c r="A13" s="27" t="n">
        <x:v>46274.083333333336</x:v>
      </x:c>
      <x:c r="B13" s="27" t="str">
        <x:v>SIM-INCA-012</x:v>
      </x:c>
      <x:c r="C13" s="27" t="str">
        <x:v>inCampus</x:v>
      </x:c>
      <x:c r="D13" s="27" t="str">
        <x:v>架空データ解析</x:v>
      </x:c>
      <x:c r="E13" s="27" t="str">
        <x:v>仮想課題-012</x:v>
      </x:c>
      <x:c r="F13" s="27" t="n">
        <x:v>46280.62430555555</x:v>
      </x:c>
      <x:c r="G13" s="27" t="str">
        <x:v>期限検出</x:v>
      </x:c>
      <x:c r="H13" s="27" t="str">
        <x:v>新しい課題: 仮想課題-012</x:v>
      </x:c>
      <x:c r="I13" s="27" t="str">
        <x:v>架空担当A &lt;fixture-012@example.invalid&gt;</x:v>
      </x:c>
      <x:c r="J13" s="27" t="n">
        <x:v>46274.166666666664</x:v>
      </x:c>
      <x:c r="K13" s="27" t="str">
        <x:v>https://mail.example.invalid/thread/SIM-INCA-012</x:v>
      </x:c>
      <x:c r="L13" s="28" t="str">
        <x:v>履修者：SIM-000012
曜日・時限：月曜1限
授業名：架空データ解析
教員名：架空担当A
更新内容：
・課題（仮想課題-012）が追加されました。（2026/09/10 08:00）
参照：https://portal.example.invalid/demo/SIM-INCA-012</x:v>
      </x:c>
      <x:c r="M13" s="27" t="str">
        <x:v>未確認</x:v>
      </x:c>
      <x:c r="N13" s="27" t="str"/>
      <x:c r="O13" s="27" t="str"/>
      <x:c r="P13" s="27" t="str"/>
      <x:c r="Q13" s="36" t="n">
        <x:f>'テスト設定'!$B$2</x:f>
        <x:v>46298</x:v>
      </x:c>
      <x:c r="R13" s="36" t="n">
        <x:f>'テスト設定'!$B$2</x:f>
        <x:v>46298</x:v>
      </x:c>
      <x:c r="S13" s="36" t="n">
        <x:f>IF(F13="","",IF(ISNUMBER(F13),F13+'テスト設定'!$B$6,F13))</x:f>
        <x:v>46303.62430555555</x:v>
      </x:c>
      <x:c r="T13" s="36" t="n">
        <x:f>IF(S13="","",S13)</x:f>
        <x:v>46303.62430555555</x:v>
      </x:c>
    </x:row>
    <x:row r="14" ht="34" customHeight="1">
      <x:c r="A14" s="27" t="n">
        <x:v>46274.125</x:v>
      </x:c>
      <x:c r="B14" s="27" t="str">
        <x:v>SIM-INCA-013</x:v>
      </x:c>
      <x:c r="C14" s="27" t="str">
        <x:v>inCampus</x:v>
      </x:c>
      <x:c r="D14" s="27" t="str">
        <x:v>仮想心理演習</x:v>
      </x:c>
      <x:c r="E14" s="27" t="str">
        <x:v>仮想お知らせ-013</x:v>
      </x:c>
      <x:c r="F14" s="27" t="str"/>
      <x:c r="G14" s="27" t="str">
        <x:v>期限未検出・要確認</x:v>
      </x:c>
      <x:c r="H14" s="27" t="str">
        <x:v>新しいお知らせ: 仮想お知らせ-013</x:v>
      </x:c>
      <x:c r="I14" s="27" t="str">
        <x:v>架空担当B &lt;fixture-013@example.invalid&gt;</x:v>
      </x:c>
      <x:c r="J14" s="27" t="n">
        <x:v>46274.208333333336</x:v>
      </x:c>
      <x:c r="K14" s="27" t="str">
        <x:v>https://mail.example.invalid/thread/SIM-INCA-013</x:v>
      </x:c>
      <x:c r="L14" s="28" t="str">
        <x:v>履修者：SIM-000013
曜日・時限：火曜3限
授業名：仮想心理演習
教員名：架空担当B
更新内容：
・お知らせ（仮想お知らせ-013）が追加されました。（2026/09/10 08:00）
参照：https://portal.example.invalid/demo/SIM-INCA-013</x:v>
      </x:c>
      <x:c r="M14" s="27" t="str">
        <x:v>未確認</x:v>
      </x:c>
      <x:c r="N14" s="27" t="str"/>
      <x:c r="O14" s="27" t="str"/>
      <x:c r="P14" s="27" t="str"/>
      <x:c r="Q14" s="36" t="n">
        <x:f>'テスト設定'!$B$2</x:f>
        <x:v>46298</x:v>
      </x:c>
      <x:c r="R14" s="36" t="n">
        <x:f>'テスト設定'!$B$2</x:f>
        <x:v>46298</x:v>
      </x:c>
      <x:c r="S14" s="36" t="str">
        <x:f>IF(F14="","",IF(ISNUMBER(F14),F14+'テスト設定'!$B$6,F14))</x:f>
      </x:c>
      <x:c r="T14" s="36" t="str">
        <x:f>IF(S14="","",S14)</x:f>
      </x:c>
    </x:row>
    <x:row r="15" ht="34" customHeight="1">
      <x:c r="A15" s="27" t="n">
        <x:v>46274.166666666664</x:v>
      </x:c>
      <x:c r="B15" s="27" t="str">
        <x:v>SIM-INCA-014</x:v>
      </x:c>
      <x:c r="C15" s="27" t="str">
        <x:v>inCampus</x:v>
      </x:c>
      <x:c r="D15" s="27" t="str">
        <x:v>サンプル情報設計</x:v>
      </x:c>
      <x:c r="E15" s="27" t="str">
        <x:v>仮想課題-014</x:v>
      </x:c>
      <x:c r="F15" s="27" t="n">
        <x:v>46282.62430555555</x:v>
      </x:c>
      <x:c r="G15" s="27" t="str">
        <x:v>期限検出</x:v>
      </x:c>
      <x:c r="H15" s="27" t="str">
        <x:v>新しい課題: 仮想課題-014</x:v>
      </x:c>
      <x:c r="I15" s="27" t="str">
        <x:v>架空担当C &lt;fixture-014@example.invalid&gt;</x:v>
      </x:c>
      <x:c r="J15" s="27" t="n">
        <x:v>46274.25</x:v>
      </x:c>
      <x:c r="K15" s="27" t="str">
        <x:v>https://mail.example.invalid/thread/SIM-INCA-014</x:v>
      </x:c>
      <x:c r="L15" s="28" t="str">
        <x:v>履修者：SIM-000014
曜日・時限：金曜2限
授業名：サンプル情報設計
教員名：架空担当C
更新内容：
・課題（仮想課題-014）が追加されました。（2026/09/10 08:00）
参照：https://portal.example.invalid/demo/SIM-INCA-014</x:v>
      </x:c>
      <x:c r="M15" s="27" t="str">
        <x:v>未確認</x:v>
      </x:c>
      <x:c r="N15" s="27" t="str"/>
      <x:c r="O15" s="27" t="str"/>
      <x:c r="P15" s="27" t="str"/>
      <x:c r="Q15" s="36" t="n">
        <x:f>'テスト設定'!$B$2</x:f>
        <x:v>46298</x:v>
      </x:c>
      <x:c r="R15" s="36" t="n">
        <x:f>'テスト設定'!$B$2</x:f>
        <x:v>46298</x:v>
      </x:c>
      <x:c r="S15" s="36" t="n">
        <x:f>IF(F15="","",IF(ISNUMBER(F15),F15+'テスト設定'!$B$6,F15))</x:f>
        <x:v>46305.62430555555</x:v>
      </x:c>
      <x:c r="T15" s="36" t="n">
        <x:f>IF(S15="","",S15)</x:f>
        <x:v>46305.62430555555</x:v>
      </x:c>
    </x:row>
    <x:row r="16" ht="34" customHeight="1">
      <x:c r="A16" s="27" t="n">
        <x:v>46274.208333333336</x:v>
      </x:c>
      <x:c r="B16" s="27" t="str">
        <x:v>SIM-INCA-015</x:v>
      </x:c>
      <x:c r="C16" s="27" t="str">
        <x:v>inCampus</x:v>
      </x:c>
      <x:c r="D16" s="27" t="str">
        <x:v>架空データ解析</x:v>
      </x:c>
      <x:c r="E16" s="27" t="str">
        <x:v>仮想課題-015</x:v>
      </x:c>
      <x:c r="F16" s="27" t="n">
        <x:v>46283.62430555555</x:v>
      </x:c>
      <x:c r="G16" s="27" t="str">
        <x:v>期限検出</x:v>
      </x:c>
      <x:c r="H16" s="27" t="str">
        <x:v>新しい課題: 仮想課題-015</x:v>
      </x:c>
      <x:c r="I16" s="27" t="str">
        <x:v>架空担当A &lt;fixture-015@example.invalid&gt;</x:v>
      </x:c>
      <x:c r="J16" s="27" t="n">
        <x:v>46274.291666666664</x:v>
      </x:c>
      <x:c r="K16" s="27" t="str">
        <x:v>https://mail.example.invalid/thread/SIM-INCA-015</x:v>
      </x:c>
      <x:c r="L16" s="28" t="str">
        <x:v>履修者：SIM-000015
曜日・時限：月曜1限
授業名：架空データ解析
教員名：架空担当A
更新内容：
・課題（仮想課題-015）が追加されました。（2026/09/10 08:00）
参照：https://portal.example.invalid/demo/SIM-INCA-015</x:v>
      </x:c>
      <x:c r="M16" s="27" t="str">
        <x:v>未確認</x:v>
      </x:c>
      <x:c r="N16" s="27" t="str"/>
      <x:c r="O16" s="27" t="str"/>
      <x:c r="P16" s="27" t="str"/>
      <x:c r="Q16" s="36" t="n">
        <x:f>'テスト設定'!$B$2</x:f>
        <x:v>46298</x:v>
      </x:c>
      <x:c r="R16" s="36" t="n">
        <x:f>'テスト設定'!$B$2</x:f>
        <x:v>46298</x:v>
      </x:c>
      <x:c r="S16" s="36" t="n">
        <x:f>IF(F16="","",IF(ISNUMBER(F16),F16+'テスト設定'!$B$6,F16))</x:f>
        <x:v>46306.62430555555</x:v>
      </x:c>
      <x:c r="T16" s="36" t="n">
        <x:f>IF(S16="","",S16)</x:f>
        <x:v>46306.62430555555</x:v>
      </x:c>
    </x:row>
    <x:row r="17" ht="34" customHeight="1">
      <x:c r="A17" s="27" t="n">
        <x:v>46274.25</x:v>
      </x:c>
      <x:c r="B17" s="27" t="str">
        <x:v>SIM-INCA-016</x:v>
      </x:c>
      <x:c r="C17" s="27" t="str">
        <x:v>inCampus</x:v>
      </x:c>
      <x:c r="D17" s="27" t="str">
        <x:v>仮想心理演習</x:v>
      </x:c>
      <x:c r="E17" s="27" t="str">
        <x:v>仮想課題-016</x:v>
      </x:c>
      <x:c r="F17" s="27" t="n">
        <x:v>46284.62430555555</x:v>
      </x:c>
      <x:c r="G17" s="27" t="str">
        <x:v>期限検出</x:v>
      </x:c>
      <x:c r="H17" s="27" t="str">
        <x:v>新しい課題: 仮想課題-016</x:v>
      </x:c>
      <x:c r="I17" s="27" t="str">
        <x:v>架空担当B &lt;fixture-016@example.invalid&gt;</x:v>
      </x:c>
      <x:c r="J17" s="27" t="n">
        <x:v>46274</x:v>
      </x:c>
      <x:c r="K17" s="27" t="str">
        <x:v>https://mail.example.invalid/thread/SIM-INCA-016</x:v>
      </x:c>
      <x:c r="L17" s="28" t="str">
        <x:v>履修者：SIM-000016
曜日・時限：火曜3限
授業名：仮想心理演習
教員名：架空担当B
更新内容：
・課題（仮想課題-016）が追加されました。（2026/09/10 08:00）
参照：https://portal.example.invalid/demo/SIM-INCA-016</x:v>
      </x:c>
      <x:c r="M17" s="27" t="str">
        <x:v>未確認</x:v>
      </x:c>
      <x:c r="N17" s="27" t="str"/>
      <x:c r="O17" s="27" t="str"/>
      <x:c r="P17" s="27" t="str"/>
      <x:c r="Q17" s="36" t="n">
        <x:f>'テスト設定'!$B$2</x:f>
        <x:v>46298</x:v>
      </x:c>
      <x:c r="R17" s="36" t="n">
        <x:f>'テスト設定'!$B$2</x:f>
        <x:v>46298</x:v>
      </x:c>
      <x:c r="S17" s="36" t="n">
        <x:f>IF(F17="","",IF(ISNUMBER(F17),F17+'テスト設定'!$B$6,F17))</x:f>
        <x:v>46307.62430555555</x:v>
      </x:c>
      <x:c r="T17" s="36" t="n">
        <x:f>IF(S17="","",S17)</x:f>
        <x:v>46307.62430555555</x:v>
      </x:c>
    </x:row>
    <x:row r="18" ht="34" customHeight="1">
      <x:c r="A18" s="27" t="n">
        <x:v>46274.291666666664</x:v>
      </x:c>
      <x:c r="B18" s="27" t="str">
        <x:v>SIM-INCA-017</x:v>
      </x:c>
      <x:c r="C18" s="27" t="str">
        <x:v>inCampus</x:v>
      </x:c>
      <x:c r="D18" s="27" t="str">
        <x:v>サンプル情報設計</x:v>
      </x:c>
      <x:c r="E18" s="27" t="str">
        <x:v>仮想課題-017</x:v>
      </x:c>
      <x:c r="F18" s="27" t="n">
        <x:v>46285.62430555555</x:v>
      </x:c>
      <x:c r="G18" s="27" t="str">
        <x:v>期限検出</x:v>
      </x:c>
      <x:c r="H18" s="27" t="str">
        <x:v>新しい課題: 仮想課題-017</x:v>
      </x:c>
      <x:c r="I18" s="27" t="str">
        <x:v>架空担当C &lt;fixture-017@example.invalid&gt;</x:v>
      </x:c>
      <x:c r="J18" s="27" t="n">
        <x:v>46274.041666666664</x:v>
      </x:c>
      <x:c r="K18" s="27" t="str">
        <x:v>https://mail.example.invalid/thread/SIM-INCA-017</x:v>
      </x:c>
      <x:c r="L18" s="28" t="str">
        <x:v>履修者：SIM-000017
曜日・時限：金曜2限
授業名：サンプル情報設計
教員名：架空担当C
更新内容：
・課題（仮想課題-017）が追加されました。（2026/09/10 08:00）
参照：https://portal.example.invalid/demo/SIM-INCA-017</x:v>
      </x:c>
      <x:c r="M18" s="27" t="str">
        <x:v>未確認</x:v>
      </x:c>
      <x:c r="N18" s="27" t="str"/>
      <x:c r="O18" s="27" t="str"/>
      <x:c r="P18" s="27" t="str"/>
      <x:c r="Q18" s="36" t="n">
        <x:f>'テスト設定'!$B$2</x:f>
        <x:v>46298</x:v>
      </x:c>
      <x:c r="R18" s="36" t="n">
        <x:f>'テスト設定'!$B$2</x:f>
        <x:v>46298</x:v>
      </x:c>
      <x:c r="S18" s="36" t="n">
        <x:f>IF(F18="","",IF(ISNUMBER(F18),F18+'テスト設定'!$B$6,F18))</x:f>
        <x:v>46308.62430555555</x:v>
      </x:c>
      <x:c r="T18" s="36" t="n">
        <x:f>IF(S18="","",S18)</x:f>
        <x:v>46308.62430555555</x:v>
      </x:c>
    </x:row>
    <x:row r="19" ht="34" customHeight="1">
      <x:c r="A19" s="27" t="n">
        <x:v>46273.958333333336</x:v>
      </x:c>
      <x:c r="B19" s="27" t="str">
        <x:v>SIM-INCA-018</x:v>
      </x:c>
      <x:c r="C19" s="27" t="str">
        <x:v>inCampus</x:v>
      </x:c>
      <x:c r="D19" s="27" t="str">
        <x:v>架空データ解析</x:v>
      </x:c>
      <x:c r="E19" s="27" t="str">
        <x:v>仮想課題-018</x:v>
      </x:c>
      <x:c r="F19" s="27" t="n">
        <x:v>46268.62430555555</x:v>
      </x:c>
      <x:c r="G19" s="27" t="str">
        <x:v>期限検出</x:v>
      </x:c>
      <x:c r="H19" s="27" t="str">
        <x:v>新しい課題: 仮想課題-018</x:v>
      </x:c>
      <x:c r="I19" s="27" t="str">
        <x:v>架空担当A &lt;fixture-018@example.invalid&gt;</x:v>
      </x:c>
      <x:c r="J19" s="27" t="n">
        <x:v>46274.083333333336</x:v>
      </x:c>
      <x:c r="K19" s="27" t="str">
        <x:v>https://mail.example.invalid/thread/SIM-INCA-018</x:v>
      </x:c>
      <x:c r="L19" s="28" t="str">
        <x:v>履修者：SIM-000018
曜日・時限：月曜1限
授業名：架空データ解析
教員名：架空担当A
更新内容：
・課題（仮想課題-018）が追加されました。（2026/09/10 08:00）
参照：https://portal.example.invalid/demo/SIM-INCA-018</x:v>
      </x:c>
      <x:c r="M19" s="27" t="str">
        <x:v>未確認</x:v>
      </x:c>
      <x:c r="N19" s="27" t="str"/>
      <x:c r="O19" s="27" t="str"/>
      <x:c r="P19" s="27" t="str"/>
      <x:c r="Q19" s="36" t="n">
        <x:f>'テスト設定'!$B$2</x:f>
        <x:v>46298</x:v>
      </x:c>
      <x:c r="R19" s="36" t="n">
        <x:f>'テスト設定'!$B$2</x:f>
        <x:v>46298</x:v>
      </x:c>
      <x:c r="S19" s="36" t="n">
        <x:f>IF(F19="","",IF(ISNUMBER(F19),F19+'テスト設定'!$B$6,F19))</x:f>
        <x:v>46291.62430555555</x:v>
      </x:c>
      <x:c r="T19" s="36" t="n">
        <x:f>IF(S19="","",S19)</x:f>
        <x:v>46291.62430555555</x:v>
      </x:c>
    </x:row>
    <x:row r="20" ht="34" customHeight="1">
      <x:c r="A20" s="27" t="n">
        <x:v>46274</x:v>
      </x:c>
      <x:c r="B20" s="27" t="str">
        <x:v>SIM-INCA-019</x:v>
      </x:c>
      <x:c r="C20" s="27" t="str">
        <x:v>inCampus</x:v>
      </x:c>
      <x:c r="D20" s="27" t="str">
        <x:v>仮想心理演習</x:v>
      </x:c>
      <x:c r="E20" s="27" t="str">
        <x:v>仮想課題-019</x:v>
      </x:c>
      <x:c r="F20" s="27" t="n">
        <x:v>46269.62430555555</x:v>
      </x:c>
      <x:c r="G20" s="27" t="str">
        <x:v>期限検出</x:v>
      </x:c>
      <x:c r="H20" s="27" t="str">
        <x:v>新しい課題: 仮想課題-019</x:v>
      </x:c>
      <x:c r="I20" s="27" t="str">
        <x:v>架空担当B &lt;fixture-019@example.invalid&gt;</x:v>
      </x:c>
      <x:c r="J20" s="27" t="n">
        <x:v>46274.125</x:v>
      </x:c>
      <x:c r="K20" s="27" t="str">
        <x:v>https://mail.example.invalid/thread/SIM-INCA-019</x:v>
      </x:c>
      <x:c r="L20" s="28" t="str">
        <x:v>履修者：SIM-000019
曜日・時限：火曜3限
授業名：仮想心理演習
教員名：架空担当B
更新内容：
・課題（仮想課題-019）が追加されました。（2026/09/10 08:00）
参照：https://portal.example.invalid/demo/SIM-INCA-019</x:v>
      </x:c>
      <x:c r="M20" s="27" t="str">
        <x:v>未確認</x:v>
      </x:c>
      <x:c r="N20" s="27" t="str"/>
      <x:c r="O20" s="27" t="str"/>
      <x:c r="P20" s="27" t="str"/>
      <x:c r="Q20" s="36" t="n">
        <x:f>'テスト設定'!$B$2</x:f>
        <x:v>46298</x:v>
      </x:c>
      <x:c r="R20" s="36" t="n">
        <x:f>'テスト設定'!$B$2</x:f>
        <x:v>46298</x:v>
      </x:c>
      <x:c r="S20" s="36" t="n">
        <x:f>IF(F20="","",IF(ISNUMBER(F20),F20+'テスト設定'!$B$6,F20))</x:f>
        <x:v>46292.62430555555</x:v>
      </x:c>
      <x:c r="T20" s="36" t="n">
        <x:f>IF(S20="","",S20)</x:f>
        <x:v>46292.62430555555</x:v>
      </x:c>
    </x:row>
    <x:row r="21" ht="34" customHeight="1">
      <x:c r="A21" s="27" t="n">
        <x:v>46274.041666666664</x:v>
      </x:c>
      <x:c r="B21" s="27" t="str">
        <x:v>SIM-INCA-020</x:v>
      </x:c>
      <x:c r="C21" s="27" t="str">
        <x:v>inCampus</x:v>
      </x:c>
      <x:c r="D21" s="27" t="str">
        <x:v>サンプル情報設計</x:v>
      </x:c>
      <x:c r="E21" s="27" t="str">
        <x:v>仮想課題-020</x:v>
      </x:c>
      <x:c r="F21" s="27" t="n">
        <x:v>46270.62430555555</x:v>
      </x:c>
      <x:c r="G21" s="27" t="str">
        <x:v>期限検出</x:v>
      </x:c>
      <x:c r="H21" s="27" t="str">
        <x:v>新しい課題: 仮想課題-020</x:v>
      </x:c>
      <x:c r="I21" s="27" t="str">
        <x:v>架空担当C &lt;fixture-020@example.invalid&gt;</x:v>
      </x:c>
      <x:c r="J21" s="27" t="n">
        <x:v>46274.166666666664</x:v>
      </x:c>
      <x:c r="K21" s="27" t="str">
        <x:v>https://mail.example.invalid/thread/SIM-INCA-020</x:v>
      </x:c>
      <x:c r="L21" s="28" t="str">
        <x:v>履修者：SIM-000020
曜日・時限：金曜2限
授業名：サンプル情報設計
教員名：架空担当C
更新内容：
・課題（仮想課題-020）が追加されました。（2026/09/10 08:00）
参照：https://portal.example.invalid/demo/SIM-INCA-020</x:v>
      </x:c>
      <x:c r="M21" s="27" t="str">
        <x:v>未確認</x:v>
      </x:c>
      <x:c r="N21" s="27" t="str"/>
      <x:c r="O21" s="27" t="str"/>
      <x:c r="P21" s="27" t="str"/>
      <x:c r="Q21" s="36" t="n">
        <x:f>'テスト設定'!$B$2</x:f>
        <x:v>46298</x:v>
      </x:c>
      <x:c r="R21" s="36" t="n">
        <x:f>'テスト設定'!$B$2</x:f>
        <x:v>46298</x:v>
      </x:c>
      <x:c r="S21" s="36" t="n">
        <x:f>IF(F21="","",IF(ISNUMBER(F21),F21+'テスト設定'!$B$6,F21))</x:f>
        <x:v>46293.62430555555</x:v>
      </x:c>
      <x:c r="T21" s="36" t="n">
        <x:f>IF(S21="","",S21)</x:f>
        <x:v>46293.62430555555</x:v>
      </x:c>
    </x:row>
    <x:row r="22" ht="34" customHeight="1">
      <x:c r="A22" s="27" t="n">
        <x:v>46274.083333333336</x:v>
      </x:c>
      <x:c r="B22" s="27" t="str">
        <x:v>SIM-INCA-021</x:v>
      </x:c>
      <x:c r="C22" s="27" t="str">
        <x:v>inCampus</x:v>
      </x:c>
      <x:c r="D22" s="27" t="str">
        <x:v>架空データ解析</x:v>
      </x:c>
      <x:c r="E22" s="27" t="str">
        <x:v>仮想課題-021</x:v>
      </x:c>
      <x:c r="F22" s="27" t="n">
        <x:v>46271.62430555555</x:v>
      </x:c>
      <x:c r="G22" s="27" t="str">
        <x:v>期限検出</x:v>
      </x:c>
      <x:c r="H22" s="27" t="str">
        <x:v>新しい課題: 仮想課題-021</x:v>
      </x:c>
      <x:c r="I22" s="27" t="str">
        <x:v>架空担当A &lt;fixture-021@example.invalid&gt;</x:v>
      </x:c>
      <x:c r="J22" s="27" t="n">
        <x:v>46274.208333333336</x:v>
      </x:c>
      <x:c r="K22" s="27" t="str">
        <x:v>https://mail.example.invalid/thread/SIM-INCA-021</x:v>
      </x:c>
      <x:c r="L22" s="28" t="str">
        <x:v>履修者：SIM-000021
曜日・時限：月曜1限
授業名：架空データ解析
教員名：架空担当A
更新内容：
・課題（仮想課題-021）が追加されました。（2026/09/10 08:00）
参照：https://portal.example.invalid/demo/SIM-INCA-021</x:v>
      </x:c>
      <x:c r="M22" s="27" t="str">
        <x:v>未確認</x:v>
      </x:c>
      <x:c r="N22" s="27" t="str"/>
      <x:c r="O22" s="27" t="str"/>
      <x:c r="P22" s="27" t="str"/>
      <x:c r="Q22" s="36" t="n">
        <x:f>'テスト設定'!$B$2</x:f>
        <x:v>46298</x:v>
      </x:c>
      <x:c r="R22" s="36" t="n">
        <x:f>'テスト設定'!$B$2</x:f>
        <x:v>46298</x:v>
      </x:c>
      <x:c r="S22" s="36" t="n">
        <x:f>IF(F22="","",IF(ISNUMBER(F22),F22+'テスト設定'!$B$6,F22))</x:f>
        <x:v>46294.62430555555</x:v>
      </x:c>
      <x:c r="T22" s="36" t="n">
        <x:f>IF(S22="","",S22)</x:f>
        <x:v>46294.62430555555</x:v>
      </x:c>
    </x:row>
    <x:row r="23" ht="34" customHeight="1">
      <x:c r="A23" s="27" t="n">
        <x:v>46274.125</x:v>
      </x:c>
      <x:c r="B23" s="27" t="str">
        <x:v>SIM-INCA-022</x:v>
      </x:c>
      <x:c r="C23" s="27" t="str">
        <x:v>inCampus</x:v>
      </x:c>
      <x:c r="D23" s="27" t="str">
        <x:v>仮想心理演習</x:v>
      </x:c>
      <x:c r="E23" s="27" t="str">
        <x:v>仮想課題-022</x:v>
      </x:c>
      <x:c r="F23" s="27" t="n">
        <x:v>46272.62430555555</x:v>
      </x:c>
      <x:c r="G23" s="27" t="str">
        <x:v>期限検出</x:v>
      </x:c>
      <x:c r="H23" s="27" t="str">
        <x:v>新しい課題: 仮想課題-022</x:v>
      </x:c>
      <x:c r="I23" s="27" t="str">
        <x:v>架空担当B &lt;fixture-022@example.invalid&gt;</x:v>
      </x:c>
      <x:c r="J23" s="27" t="n">
        <x:v>46274.25</x:v>
      </x:c>
      <x:c r="K23" s="27" t="str">
        <x:v>https://mail.example.invalid/thread/SIM-INCA-022</x:v>
      </x:c>
      <x:c r="L23" s="28" t="str">
        <x:v>履修者：SIM-000022
曜日・時限：火曜3限
授業名：仮想心理演習
教員名：架空担当B
更新内容：
・課題（仮想課題-022）が追加されました。（2026/09/10 08:00）
参照：https://portal.example.invalid/demo/SIM-INCA-022</x:v>
      </x:c>
      <x:c r="M23" s="27" t="str">
        <x:v>未確認</x:v>
      </x:c>
      <x:c r="N23" s="27" t="str"/>
      <x:c r="O23" s="27" t="str"/>
      <x:c r="P23" s="27" t="str"/>
      <x:c r="Q23" s="36" t="n">
        <x:f>'テスト設定'!$B$2</x:f>
        <x:v>46298</x:v>
      </x:c>
      <x:c r="R23" s="36" t="n">
        <x:f>'テスト設定'!$B$2</x:f>
        <x:v>46298</x:v>
      </x:c>
      <x:c r="S23" s="36" t="n">
        <x:f>IF(F23="","",IF(ISNUMBER(F23),F23+'テスト設定'!$B$6,F23))</x:f>
        <x:v>46295.62430555555</x:v>
      </x:c>
      <x:c r="T23" s="36" t="n">
        <x:f>IF(S23="","",S23)</x:f>
        <x:v>46295.62430555555</x:v>
      </x:c>
    </x:row>
    <x:row r="24" ht="34" customHeight="1">
      <x:c r="A24" s="27" t="n">
        <x:v>46274.166666666664</x:v>
      </x:c>
      <x:c r="B24" s="27" t="str">
        <x:v>SIM-INCA-023</x:v>
      </x:c>
      <x:c r="C24" s="27" t="str">
        <x:v>inCampus</x:v>
      </x:c>
      <x:c r="D24" s="27" t="str">
        <x:v>サンプル情報設計</x:v>
      </x:c>
      <x:c r="E24" s="27" t="str">
        <x:v>仮想課題-023</x:v>
      </x:c>
      <x:c r="F24" s="27" t="n">
        <x:v>46273.62430555555</x:v>
      </x:c>
      <x:c r="G24" s="27" t="str">
        <x:v>期限検出</x:v>
      </x:c>
      <x:c r="H24" s="27" t="str">
        <x:v>新しい課題: 仮想課題-023</x:v>
      </x:c>
      <x:c r="I24" s="27" t="str">
        <x:v>架空担当C &lt;fixture-023@example.invalid&gt;</x:v>
      </x:c>
      <x:c r="J24" s="27" t="n">
        <x:v>46274.291666666664</x:v>
      </x:c>
      <x:c r="K24" s="27" t="str">
        <x:v>https://mail.example.invalid/thread/SIM-INCA-023</x:v>
      </x:c>
      <x:c r="L24" s="28" t="str">
        <x:v>履修者：SIM-000023
曜日・時限：金曜2限
授業名：サンプル情報設計
教員名：架空担当C
更新内容：
・課題（仮想課題-023）が追加されました。（2026/09/10 08:00）
参照：https://portal.example.invalid/demo/SIM-INCA-023</x:v>
      </x:c>
      <x:c r="M24" s="27" t="str">
        <x:v>未確認</x:v>
      </x:c>
      <x:c r="N24" s="27" t="str"/>
      <x:c r="O24" s="27" t="str"/>
      <x:c r="P24" s="27" t="str"/>
      <x:c r="Q24" s="36" t="n">
        <x:f>'テスト設定'!$B$2</x:f>
        <x:v>46298</x:v>
      </x:c>
      <x:c r="R24" s="36" t="n">
        <x:f>'テスト設定'!$B$2</x:f>
        <x:v>46298</x:v>
      </x:c>
      <x:c r="S24" s="36" t="n">
        <x:f>IF(F24="","",IF(ISNUMBER(F24),F24+'テスト設定'!$B$6,F24))</x:f>
        <x:v>46296.62430555555</x:v>
      </x:c>
      <x:c r="T24" s="36" t="n">
        <x:f>IF(S24="","",S24)</x:f>
        <x:v>46296.62430555555</x:v>
      </x:c>
    </x:row>
    <x:row r="25" ht="34" customHeight="1">
      <x:c r="A25" s="27" t="n">
        <x:v>46274.208333333336</x:v>
      </x:c>
      <x:c r="B25" s="27" t="str">
        <x:v>SIM-INCA-024</x:v>
      </x:c>
      <x:c r="C25" s="27" t="str">
        <x:v>inCampus</x:v>
      </x:c>
      <x:c r="D25" s="27" t="str">
        <x:v>架空データ解析</x:v>
      </x:c>
      <x:c r="E25" s="27" t="str">
        <x:v>仮想課題-024</x:v>
      </x:c>
      <x:c r="F25" s="27" t="n">
        <x:v>46274.62430555555</x:v>
      </x:c>
      <x:c r="G25" s="27" t="str">
        <x:v>期限検出</x:v>
      </x:c>
      <x:c r="H25" s="27" t="str">
        <x:v>新しい課題: 仮想課題-024</x:v>
      </x:c>
      <x:c r="I25" s="27" t="str">
        <x:v>架空担当A &lt;fixture-024@example.invalid&gt;</x:v>
      </x:c>
      <x:c r="J25" s="27" t="n">
        <x:v>46274</x:v>
      </x:c>
      <x:c r="K25" s="27" t="str">
        <x:v>https://mail.example.invalid/thread/SIM-INCA-024</x:v>
      </x:c>
      <x:c r="L25" s="28" t="str">
        <x:v>履修者：SIM-000024
曜日・時限：月曜1限
授業名：架空データ解析
教員名：架空担当A
更新内容：
・課題（仮想課題-024）が追加されました。（2026/09/10 08:00）
参照：https://portal.example.invalid/demo/SIM-INCA-024</x:v>
      </x:c>
      <x:c r="M25" s="27" t="str">
        <x:v>未確認</x:v>
      </x:c>
      <x:c r="N25" s="27" t="str"/>
      <x:c r="O25" s="27" t="str"/>
      <x:c r="P25" s="27" t="str"/>
      <x:c r="Q25" s="36" t="n">
        <x:f>'テスト設定'!$B$2</x:f>
        <x:v>46298</x:v>
      </x:c>
      <x:c r="R25" s="36" t="n">
        <x:f>'テスト設定'!$B$2</x:f>
        <x:v>46298</x:v>
      </x:c>
      <x:c r="S25" s="36" t="n">
        <x:f>IF(F25="","",IF(ISNUMBER(F25),F25+'テスト設定'!$B$6,F25))</x:f>
        <x:v>46297.62430555555</x:v>
      </x:c>
      <x:c r="T25" s="36" t="n">
        <x:f>IF(S25="","",S25)</x:f>
        <x:v>46297.62430555555</x:v>
      </x:c>
    </x:row>
    <x:row r="26" ht="34" customHeight="1">
      <x:c r="A26" s="27" t="n">
        <x:v>46274.25</x:v>
      </x:c>
      <x:c r="B26" s="27" t="str">
        <x:v>SIM-INCA-025</x:v>
      </x:c>
      <x:c r="C26" s="27" t="str">
        <x:v>inCampus</x:v>
      </x:c>
      <x:c r="D26" s="27" t="str">
        <x:v>仮想心理演習</x:v>
      </x:c>
      <x:c r="E26" s="27" t="str">
        <x:v>仮想課題-025</x:v>
      </x:c>
      <x:c r="F26" s="27" t="n">
        <x:v>46275.62430555555</x:v>
      </x:c>
      <x:c r="G26" s="27" t="str">
        <x:v>期限検出</x:v>
      </x:c>
      <x:c r="H26" s="27" t="str">
        <x:v>新しい課題: 仮想課題-025</x:v>
      </x:c>
      <x:c r="I26" s="27" t="str">
        <x:v>架空担当B &lt;fixture-025@example.invalid&gt;</x:v>
      </x:c>
      <x:c r="J26" s="27" t="n">
        <x:v>46274.041666666664</x:v>
      </x:c>
      <x:c r="K26" s="27" t="str">
        <x:v>https://mail.example.invalid/thread/SIM-INCA-025</x:v>
      </x:c>
      <x:c r="L26" s="28" t="str">
        <x:v>履修者：SIM-000025
曜日・時限：火曜3限
授業名：仮想心理演習
教員名：架空担当B
更新内容：
・課題（仮想課題-025）が追加されました。（2026/09/10 08:00）
参照：https://portal.example.invalid/demo/SIM-INCA-025</x:v>
      </x:c>
      <x:c r="M26" s="27" t="str">
        <x:v>未確認</x:v>
      </x:c>
      <x:c r="N26" s="27" t="str"/>
      <x:c r="O26" s="27" t="str"/>
      <x:c r="P26" s="27" t="str"/>
      <x:c r="Q26" s="36" t="n">
        <x:f>'テスト設定'!$B$2</x:f>
        <x:v>46298</x:v>
      </x:c>
      <x:c r="R26" s="36" t="n">
        <x:f>'テスト設定'!$B$2</x:f>
        <x:v>46298</x:v>
      </x:c>
      <x:c r="S26" s="36" t="n">
        <x:f>IF(F26="","",IF(ISNUMBER(F26),F26+'テスト設定'!$B$6,F26))</x:f>
        <x:v>46298.62430555555</x:v>
      </x:c>
      <x:c r="T26" s="36" t="n">
        <x:f>IF(S26="","",S26)</x:f>
        <x:v>46298.62430555555</x:v>
      </x:c>
    </x:row>
    <x:row r="27" ht="34" customHeight="1">
      <x:c r="A27" s="27" t="n">
        <x:v>46274.291666666664</x:v>
      </x:c>
      <x:c r="B27" s="27" t="str">
        <x:v>SIM-INCA-026</x:v>
      </x:c>
      <x:c r="C27" s="27" t="str">
        <x:v>inCampus</x:v>
      </x:c>
      <x:c r="D27" s="27" t="str">
        <x:v>サンプル情報設計</x:v>
      </x:c>
      <x:c r="E27" s="27" t="str">
        <x:v>仮想お知らせ-026</x:v>
      </x:c>
      <x:c r="F27" s="27" t="str"/>
      <x:c r="G27" s="27" t="str">
        <x:v>期限未検出・要確認</x:v>
      </x:c>
      <x:c r="H27" s="27" t="str">
        <x:v>新しいお知らせ: 仮想お知らせ-026</x:v>
      </x:c>
      <x:c r="I27" s="27" t="str">
        <x:v>架空担当C &lt;fixture-026@example.invalid&gt;</x:v>
      </x:c>
      <x:c r="J27" s="27" t="n">
        <x:v>46274.083333333336</x:v>
      </x:c>
      <x:c r="K27" s="27" t="str">
        <x:v>https://mail.example.invalid/thread/SIM-INCA-026</x:v>
      </x:c>
      <x:c r="L27" s="28" t="str">
        <x:v>履修者：SIM-000026
曜日・時限：金曜2限
授業名：サンプル情報設計
教員名：架空担当C
更新内容：
・お知らせ（仮想お知らせ-026）が追加されました。（2026/09/10 08:00）
参照：https://portal.example.invalid/demo/SIM-INCA-026</x:v>
      </x:c>
      <x:c r="M27" s="27" t="str">
        <x:v>未確認</x:v>
      </x:c>
      <x:c r="N27" s="27" t="str"/>
      <x:c r="O27" s="27" t="str"/>
      <x:c r="P27" s="27" t="str"/>
      <x:c r="Q27" s="36" t="n">
        <x:f>'テスト設定'!$B$2</x:f>
        <x:v>46298</x:v>
      </x:c>
      <x:c r="R27" s="36" t="n">
        <x:f>'テスト設定'!$B$2</x:f>
        <x:v>46298</x:v>
      </x:c>
      <x:c r="S27" s="36" t="str">
        <x:f>IF(F27="","",IF(ISNUMBER(F27),F27+'テスト設定'!$B$6,F27))</x:f>
      </x:c>
      <x:c r="T27" s="36" t="str">
        <x:f>IF(S27="","",S27)</x:f>
      </x:c>
    </x:row>
    <x:row r="28" ht="34" customHeight="1">
      <x:c r="A28" s="27" t="n">
        <x:v>46273.958333333336</x:v>
      </x:c>
      <x:c r="B28" s="27" t="str">
        <x:v>SIM-INCA-027</x:v>
      </x:c>
      <x:c r="C28" s="27" t="str">
        <x:v>inCampus</x:v>
      </x:c>
      <x:c r="D28" s="27" t="str">
        <x:v>架空データ解析</x:v>
      </x:c>
      <x:c r="E28" s="27" t="str">
        <x:v>仮想課題-027</x:v>
      </x:c>
      <x:c r="F28" s="27" t="n">
        <x:v>46277.62430555555</x:v>
      </x:c>
      <x:c r="G28" s="27" t="str">
        <x:v>期限検出</x:v>
      </x:c>
      <x:c r="H28" s="27" t="str">
        <x:v>新しい課題: 仮想課題-027</x:v>
      </x:c>
      <x:c r="I28" s="27" t="str">
        <x:v>架空担当A &lt;fixture-027@example.invalid&gt;</x:v>
      </x:c>
      <x:c r="J28" s="27" t="n">
        <x:v>46274.125</x:v>
      </x:c>
      <x:c r="K28" s="27" t="str">
        <x:v>https://mail.example.invalid/thread/SIM-INCA-027</x:v>
      </x:c>
      <x:c r="L28" s="28" t="str">
        <x:v>履修者：SIM-000027
曜日・時限：月曜1限
授業名：架空データ解析
教員名：架空担当A
更新内容：
・課題（仮想課題-027）が追加されました。（2026/09/10 08:00）
参照：https://portal.example.invalid/demo/SIM-INCA-027</x:v>
      </x:c>
      <x:c r="M28" s="27" t="str">
        <x:v>未確認</x:v>
      </x:c>
      <x:c r="N28" s="27" t="str"/>
      <x:c r="O28" s="27" t="str"/>
      <x:c r="P28" s="27" t="str"/>
      <x:c r="Q28" s="36" t="n">
        <x:f>'テスト設定'!$B$2</x:f>
        <x:v>46298</x:v>
      </x:c>
      <x:c r="R28" s="36" t="n">
        <x:f>'テスト設定'!$B$2</x:f>
        <x:v>46298</x:v>
      </x:c>
      <x:c r="S28" s="36" t="n">
        <x:f>IF(F28="","",IF(ISNUMBER(F28),F28+'テスト設定'!$B$6,F28))</x:f>
        <x:v>46300.62430555555</x:v>
      </x:c>
      <x:c r="T28" s="36" t="n">
        <x:f>IF(S28="","",S28)</x:f>
        <x:v>46300.62430555555</x:v>
      </x:c>
    </x:row>
    <x:row r="29" ht="34" customHeight="1">
      <x:c r="A29" s="27" t="n">
        <x:v>46274</x:v>
      </x:c>
      <x:c r="B29" s="27" t="str">
        <x:v>SIM-INCA-028</x:v>
      </x:c>
      <x:c r="C29" s="27" t="str">
        <x:v>inCampus</x:v>
      </x:c>
      <x:c r="D29" s="27" t="str">
        <x:v>仮想心理演習</x:v>
      </x:c>
      <x:c r="E29" s="27" t="str">
        <x:v>仮想課題-028</x:v>
      </x:c>
      <x:c r="F29" s="27" t="n">
        <x:v>46278.62430555555</x:v>
      </x:c>
      <x:c r="G29" s="27" t="str">
        <x:v>期限検出</x:v>
      </x:c>
      <x:c r="H29" s="27" t="str">
        <x:v>新しい課題: 仮想課題-028</x:v>
      </x:c>
      <x:c r="I29" s="27" t="str">
        <x:v>架空担当B &lt;fixture-028@example.invalid&gt;</x:v>
      </x:c>
      <x:c r="J29" s="27" t="n">
        <x:v>46274.166666666664</x:v>
      </x:c>
      <x:c r="K29" s="27" t="str">
        <x:v>https://mail.example.invalid/thread/SIM-INCA-028</x:v>
      </x:c>
      <x:c r="L29" s="28" t="str">
        <x:v>履修者：SIM-000028
曜日・時限：火曜3限
授業名：仮想心理演習
教員名：架空担当B
更新内容：
・課題（仮想課題-028）が追加されました。（2026/09/10 08:00）
参照：https://portal.example.invalid/demo/SIM-INCA-028</x:v>
      </x:c>
      <x:c r="M29" s="27" t="str">
        <x:v>未確認</x:v>
      </x:c>
      <x:c r="N29" s="27" t="str"/>
      <x:c r="O29" s="27" t="str"/>
      <x:c r="P29" s="27" t="str"/>
      <x:c r="Q29" s="36" t="n">
        <x:f>'テスト設定'!$B$2</x:f>
        <x:v>46298</x:v>
      </x:c>
      <x:c r="R29" s="36" t="n">
        <x:f>'テスト設定'!$B$2</x:f>
        <x:v>46298</x:v>
      </x:c>
      <x:c r="S29" s="36" t="n">
        <x:f>IF(F29="","",IF(ISNUMBER(F29),F29+'テスト設定'!$B$6,F29))</x:f>
        <x:v>46301.62430555555</x:v>
      </x:c>
      <x:c r="T29" s="36" t="n">
        <x:f>IF(S29="","",S29)</x:f>
        <x:v>46301.62430555555</x:v>
      </x:c>
    </x:row>
    <x:row r="30" ht="34" customHeight="1">
      <x:c r="A30" s="27" t="n">
        <x:v>46274.041666666664</x:v>
      </x:c>
      <x:c r="B30" s="27" t="str">
        <x:v>SIM-INCA-029</x:v>
      </x:c>
      <x:c r="C30" s="27" t="str">
        <x:v>inCampus</x:v>
      </x:c>
      <x:c r="D30" s="27" t="str">
        <x:v>サンプル情報設計</x:v>
      </x:c>
      <x:c r="E30" s="27" t="str">
        <x:v>仮想課題-029</x:v>
      </x:c>
      <x:c r="F30" s="27" t="n">
        <x:v>46279.62430555555</x:v>
      </x:c>
      <x:c r="G30" s="27" t="str">
        <x:v>期限検出</x:v>
      </x:c>
      <x:c r="H30" s="27" t="str">
        <x:v>新しい課題: 仮想課題-029</x:v>
      </x:c>
      <x:c r="I30" s="27" t="str">
        <x:v>架空担当C &lt;fixture-029@example.invalid&gt;</x:v>
      </x:c>
      <x:c r="J30" s="27" t="n">
        <x:v>46274.208333333336</x:v>
      </x:c>
      <x:c r="K30" s="27" t="str">
        <x:v>https://mail.example.invalid/thread/SIM-INCA-029</x:v>
      </x:c>
      <x:c r="L30" s="28" t="str">
        <x:v>履修者：SIM-000029
曜日・時限：金曜2限
授業名：サンプル情報設計
教員名：架空担当C
更新内容：
・課題（仮想課題-029）が追加されました。（2026/09/10 08:00）
参照：https://portal.example.invalid/demo/SIM-INCA-029</x:v>
      </x:c>
      <x:c r="M30" s="27" t="str">
        <x:v>未確認</x:v>
      </x:c>
      <x:c r="N30" s="27" t="str"/>
      <x:c r="O30" s="27" t="str"/>
      <x:c r="P30" s="27" t="str"/>
      <x:c r="Q30" s="36" t="n">
        <x:f>'テスト設定'!$B$2</x:f>
        <x:v>46298</x:v>
      </x:c>
      <x:c r="R30" s="36" t="n">
        <x:f>'テスト設定'!$B$2</x:f>
        <x:v>46298</x:v>
      </x:c>
      <x:c r="S30" s="36" t="n">
        <x:f>IF(F30="","",IF(ISNUMBER(F30),F30+'テスト設定'!$B$6,F30))</x:f>
        <x:v>46302.62430555555</x:v>
      </x:c>
      <x:c r="T30" s="36" t="n">
        <x:f>IF(S30="","",S30)</x:f>
        <x:v>46302.62430555555</x:v>
      </x:c>
    </x:row>
    <x:row r="31" ht="34" customHeight="1">
      <x:c r="A31" s="27" t="n">
        <x:v>46274.083333333336</x:v>
      </x:c>
      <x:c r="B31" s="27" t="str">
        <x:v>SIM-INCA-030</x:v>
      </x:c>
      <x:c r="C31" s="27" t="str">
        <x:v>inCampus</x:v>
      </x:c>
      <x:c r="D31" s="27" t="str">
        <x:v>架空データ解析</x:v>
      </x:c>
      <x:c r="E31" s="27" t="str">
        <x:v>仮想課題-030</x:v>
      </x:c>
      <x:c r="F31" s="27" t="n">
        <x:v>46280.62430555555</x:v>
      </x:c>
      <x:c r="G31" s="27" t="str">
        <x:v>期限検出</x:v>
      </x:c>
      <x:c r="H31" s="27" t="str">
        <x:v>新しい課題: 仮想課題-030</x:v>
      </x:c>
      <x:c r="I31" s="27" t="str">
        <x:v>架空担当A &lt;fixture-030@example.invalid&gt;</x:v>
      </x:c>
      <x:c r="J31" s="27" t="n">
        <x:v>46274.25</x:v>
      </x:c>
      <x:c r="K31" s="27" t="str">
        <x:v>https://mail.example.invalid/thread/SIM-INCA-030</x:v>
      </x:c>
      <x:c r="L31" s="28" t="str">
        <x:v>履修者：SIM-000030
曜日・時限：月曜1限
授業名：架空データ解析
教員名：架空担当A
更新内容：
・課題（仮想課題-030）が追加されました。（2026/09/10 08:00）
参照：https://portal.example.invalid/demo/SIM-INCA-030</x:v>
      </x:c>
      <x:c r="M31" s="27" t="str">
        <x:v>未確認</x:v>
      </x:c>
      <x:c r="N31" s="27" t="str"/>
      <x:c r="O31" s="27" t="str"/>
      <x:c r="P31" s="27" t="str"/>
      <x:c r="Q31" s="36" t="n">
        <x:f>'テスト設定'!$B$2</x:f>
        <x:v>46298</x:v>
      </x:c>
      <x:c r="R31" s="36" t="n">
        <x:f>'テスト設定'!$B$2</x:f>
        <x:v>46298</x:v>
      </x:c>
      <x:c r="S31" s="36" t="n">
        <x:f>IF(F31="","",IF(ISNUMBER(F31),F31+'テスト設定'!$B$6,F31))</x:f>
        <x:v>46303.62430555555</x:v>
      </x:c>
      <x:c r="T31" s="36" t="n">
        <x:f>IF(S31="","",S31)</x:f>
        <x:v>46303.62430555555</x:v>
      </x:c>
    </x:row>
    <x:row r="32" ht="34" customHeight="1">
      <x:c r="A32" s="27" t="n">
        <x:v>46274.125</x:v>
      </x:c>
      <x:c r="B32" s="27" t="str">
        <x:v>SIM-INCA-031</x:v>
      </x:c>
      <x:c r="C32" s="27" t="str">
        <x:v>inCampus</x:v>
      </x:c>
      <x:c r="D32" s="27" t="str">
        <x:v>仮想心理演習</x:v>
      </x:c>
      <x:c r="E32" s="27" t="str">
        <x:v>仮想課題-031</x:v>
      </x:c>
      <x:c r="F32" s="27" t="n">
        <x:v>46281.62430555555</x:v>
      </x:c>
      <x:c r="G32" s="27" t="str">
        <x:v>期限検出</x:v>
      </x:c>
      <x:c r="H32" s="27" t="str">
        <x:v>新しい課題: 仮想課題-031</x:v>
      </x:c>
      <x:c r="I32" s="27" t="str">
        <x:v>架空担当B &lt;fixture-031@example.invalid&gt;</x:v>
      </x:c>
      <x:c r="J32" s="27" t="n">
        <x:v>46274.291666666664</x:v>
      </x:c>
      <x:c r="K32" s="27" t="str">
        <x:v>https://mail.example.invalid/thread/SIM-INCA-031</x:v>
      </x:c>
      <x:c r="L32" s="28" t="str">
        <x:v>履修者：SIM-000031
曜日・時限：火曜3限
授業名：仮想心理演習
教員名：架空担当B
更新内容：
・課題（仮想課題-031）が追加されました。（2026/09/10 08:00）
参照：https://portal.example.invalid/demo/SIM-INCA-031</x:v>
      </x:c>
      <x:c r="M32" s="27" t="str">
        <x:v>未確認</x:v>
      </x:c>
      <x:c r="N32" s="27" t="str"/>
      <x:c r="O32" s="27" t="str"/>
      <x:c r="P32" s="27" t="str"/>
      <x:c r="Q32" s="36" t="n">
        <x:f>'テスト設定'!$B$2</x:f>
        <x:v>46298</x:v>
      </x:c>
      <x:c r="R32" s="36" t="n">
        <x:f>'テスト設定'!$B$2</x:f>
        <x:v>46298</x:v>
      </x:c>
      <x:c r="S32" s="36" t="n">
        <x:f>IF(F32="","",IF(ISNUMBER(F32),F32+'テスト設定'!$B$6,F32))</x:f>
        <x:v>46304.62430555555</x:v>
      </x:c>
      <x:c r="T32" s="36" t="n">
        <x:f>IF(S32="","",S32)</x:f>
        <x:v>46304.62430555555</x:v>
      </x:c>
    </x:row>
    <x:row r="33" ht="34" customHeight="1">
      <x:c r="A33" s="27" t="n">
        <x:v>46274.166666666664</x:v>
      </x:c>
      <x:c r="B33" s="27" t="str">
        <x:v>SIM-INCA-032</x:v>
      </x:c>
      <x:c r="C33" s="27" t="str">
        <x:v>inCampus</x:v>
      </x:c>
      <x:c r="D33" s="27" t="str">
        <x:v>サンプル情報設計</x:v>
      </x:c>
      <x:c r="E33" s="27" t="str">
        <x:v>仮想課題-032</x:v>
      </x:c>
      <x:c r="F33" s="27" t="n">
        <x:v>46282.62430555555</x:v>
      </x:c>
      <x:c r="G33" s="27" t="str">
        <x:v>期限検出</x:v>
      </x:c>
      <x:c r="H33" s="27" t="str">
        <x:v>新しい課題: 仮想課題-032</x:v>
      </x:c>
      <x:c r="I33" s="27" t="str">
        <x:v>架空担当C &lt;fixture-032@example.invalid&gt;</x:v>
      </x:c>
      <x:c r="J33" s="27" t="n">
        <x:v>46274</x:v>
      </x:c>
      <x:c r="K33" s="27" t="str">
        <x:v>https://mail.example.invalid/thread/SIM-INCA-032</x:v>
      </x:c>
      <x:c r="L33" s="28" t="str">
        <x:v>履修者：SIM-000032
曜日・時限：金曜2限
授業名：サンプル情報設計
教員名：架空担当C
更新内容：
・課題（仮想課題-032）が追加されました。（2026/09/10 08:00）
参照：https://portal.example.invalid/demo/SIM-INCA-032</x:v>
      </x:c>
      <x:c r="M33" s="27" t="str">
        <x:v>未確認</x:v>
      </x:c>
      <x:c r="N33" s="27" t="str"/>
      <x:c r="O33" s="27" t="str"/>
      <x:c r="P33" s="27" t="str"/>
      <x:c r="Q33" s="36" t="n">
        <x:f>'テスト設定'!$B$2</x:f>
        <x:v>46298</x:v>
      </x:c>
      <x:c r="R33" s="36" t="n">
        <x:f>'テスト設定'!$B$2</x:f>
        <x:v>46298</x:v>
      </x:c>
      <x:c r="S33" s="36" t="n">
        <x:f>IF(F33="","",IF(ISNUMBER(F33),F33+'テスト設定'!$B$6,F33))</x:f>
        <x:v>46305.62430555555</x:v>
      </x:c>
      <x:c r="T33" s="36" t="n">
        <x:f>IF(S33="","",S33)</x:f>
        <x:v>46305.62430555555</x:v>
      </x:c>
    </x:row>
    <x:row r="34" ht="34" customHeight="1">
      <x:c r="A34" s="27" t="n">
        <x:v>46274.208333333336</x:v>
      </x:c>
      <x:c r="B34" s="27" t="str">
        <x:v>SIM-INCA-033</x:v>
      </x:c>
      <x:c r="C34" s="27" t="str">
        <x:v>inCampus</x:v>
      </x:c>
      <x:c r="D34" s="27" t="str">
        <x:v>架空データ解析</x:v>
      </x:c>
      <x:c r="E34" s="27" t="str">
        <x:v>仮想課題-033</x:v>
      </x:c>
      <x:c r="F34" s="27" t="n">
        <x:v>46275</x:v>
      </x:c>
      <x:c r="G34" s="27" t="str">
        <x:v>期限検出</x:v>
      </x:c>
      <x:c r="H34" s="27" t="str">
        <x:v>新しい課題: 仮想課題-033</x:v>
      </x:c>
      <x:c r="I34" s="27" t="str">
        <x:v>架空担当A &lt;fixture-033@example.invalid&gt;</x:v>
      </x:c>
      <x:c r="J34" s="27" t="n">
        <x:v>46274.041666666664</x:v>
      </x:c>
      <x:c r="K34" s="27" t="str">
        <x:v>https://mail.example.invalid/thread/SIM-INCA-033</x:v>
      </x:c>
      <x:c r="L34" s="28" t="str">
        <x:v>履修者：SIM-000033
曜日・時限：月曜1限
授業名：架空データ解析
教員名：架空担当A
更新内容：
・課題（仮想課題-033）が追加されました。（2026/09/10 08:00）
参照：https://portal.example.invalid/demo/SIM-INCA-033</x:v>
      </x:c>
      <x:c r="M34" s="27" t="str">
        <x:v>未確認</x:v>
      </x:c>
      <x:c r="N34" s="27" t="str"/>
      <x:c r="O34" s="27" t="str"/>
      <x:c r="P34" s="27" t="str"/>
      <x:c r="Q34" s="36" t="n">
        <x:f>'テスト設定'!$B$2</x:f>
        <x:v>46298</x:v>
      </x:c>
      <x:c r="R34" s="36" t="n">
        <x:f>'テスト設定'!$B$2</x:f>
        <x:v>46298</x:v>
      </x:c>
      <x:c r="S34" s="36" t="n">
        <x:f>IF(F34="","",IF(ISNUMBER(F34),F34+'テスト設定'!$B$6,F34))</x:f>
        <x:v>46298</x:v>
      </x:c>
      <x:c r="T34" s="36" t="n">
        <x:f>IF(S34="","",S34)</x:f>
        <x:v>46298</x:v>
      </x:c>
    </x:row>
    <x:row r="35" ht="34" customHeight="1">
      <x:c r="A35" s="27" t="n">
        <x:v>46274.25</x:v>
      </x:c>
      <x:c r="B35" s="27" t="str">
        <x:v>SIM-INCA-034</x:v>
      </x:c>
      <x:c r="C35" s="27" t="str">
        <x:v>inCampus</x:v>
      </x:c>
      <x:c r="D35" s="27" t="str">
        <x:v>仮想心理演習</x:v>
      </x:c>
      <x:c r="E35" s="27" t="str">
        <x:v>仮想課題-034</x:v>
      </x:c>
      <x:c r="F35" s="27" t="n">
        <x:v>46284.62430555555</x:v>
      </x:c>
      <x:c r="G35" s="27" t="str">
        <x:v>期限検出</x:v>
      </x:c>
      <x:c r="H35" s="27" t="str">
        <x:v>新しい課題: 仮想課題-034</x:v>
      </x:c>
      <x:c r="I35" s="27" t="str">
        <x:v>架空担当B &lt;fixture-034@example.invalid&gt;</x:v>
      </x:c>
      <x:c r="J35" s="27" t="n">
        <x:v>46274.083333333336</x:v>
      </x:c>
      <x:c r="K35" s="27" t="str">
        <x:v>https://mail.example.invalid/thread/SIM-INCA-034</x:v>
      </x:c>
      <x:c r="L35" s="28" t="str">
        <x:v>履修者：SIM-000034
曜日・時限：火曜3限
授業名：仮想心理演習
教員名：架空担当B
更新内容：
・課題（仮想課題-034）が追加されました。（2026/09/10 08:00）
参照：https://portal.example.invalid/demo/SIM-INCA-034</x:v>
      </x:c>
      <x:c r="M35" s="27" t="str">
        <x:v>未確認</x:v>
      </x:c>
      <x:c r="N35" s="27" t="str"/>
      <x:c r="O35" s="27" t="str"/>
      <x:c r="P35" s="27" t="str"/>
      <x:c r="Q35" s="36" t="n">
        <x:f>'テスト設定'!$B$2</x:f>
        <x:v>46298</x:v>
      </x:c>
      <x:c r="R35" s="36" t="n">
        <x:f>'テスト設定'!$B$2</x:f>
        <x:v>46298</x:v>
      </x:c>
      <x:c r="S35" s="36" t="n">
        <x:f>IF(F35="","",IF(ISNUMBER(F35),F35+'テスト設定'!$B$6,F35))</x:f>
        <x:v>46307.62430555555</x:v>
      </x:c>
      <x:c r="T35" s="36" t="n">
        <x:f>IF(S35="","",S35)</x:f>
        <x:v>46307.62430555555</x:v>
      </x:c>
    </x:row>
    <x:row r="36" ht="34" customHeight="1">
      <x:c r="A36" s="27" t="n">
        <x:v>46274.291666666664</x:v>
      </x:c>
      <x:c r="B36" s="27" t="str">
        <x:v>SIM-INCA-035</x:v>
      </x:c>
      <x:c r="C36" s="27" t="str">
        <x:v>inCampus</x:v>
      </x:c>
      <x:c r="D36" s="27" t="str">
        <x:v>サンプル情報設計</x:v>
      </x:c>
      <x:c r="E36" s="27" t="str">
        <x:v>仮想課題-035</x:v>
      </x:c>
      <x:c r="F36" s="27" t="n">
        <x:v>46285.62430555555</x:v>
      </x:c>
      <x:c r="G36" s="27" t="str">
        <x:v>期限検出</x:v>
      </x:c>
      <x:c r="H36" s="27" t="str">
        <x:v>新しい課題: 仮想課題-035</x:v>
      </x:c>
      <x:c r="I36" s="27" t="str">
        <x:v>架空担当C &lt;fixture-035@example.invalid&gt;</x:v>
      </x:c>
      <x:c r="J36" s="27" t="n">
        <x:v>46274.125</x:v>
      </x:c>
      <x:c r="K36" s="27" t="str">
        <x:v>https://mail.example.invalid/thread/SIM-INCA-035</x:v>
      </x:c>
      <x:c r="L36" s="28" t="str">
        <x:v>履修者：SIM-000035
曜日・時限：金曜2限
授業名：サンプル情報設計
教員名：架空担当C
更新内容：
・課題（仮想課題-035）が追加されました。（2026/09/10 08:00）
参照：https://portal.example.invalid/demo/SIM-INCA-035</x:v>
      </x:c>
      <x:c r="M36" s="27" t="str">
        <x:v>未確認</x:v>
      </x:c>
      <x:c r="N36" s="27" t="str"/>
      <x:c r="O36" s="27" t="str"/>
      <x:c r="P36" s="27" t="str"/>
      <x:c r="Q36" s="36" t="n">
        <x:f>'テスト設定'!$B$2</x:f>
        <x:v>46298</x:v>
      </x:c>
      <x:c r="R36" s="36" t="n">
        <x:f>'テスト設定'!$B$2</x:f>
        <x:v>46298</x:v>
      </x:c>
      <x:c r="S36" s="36" t="n">
        <x:f>IF(F36="","",IF(ISNUMBER(F36),F36+'テスト設定'!$B$6,F36))</x:f>
        <x:v>46308.62430555555</x:v>
      </x:c>
      <x:c r="T36" s="36" t="n">
        <x:f>IF(S36="","",S36)</x:f>
        <x:v>46308.62430555555</x:v>
      </x:c>
    </x:row>
    <x:row r="37" ht="34" customHeight="1">
      <x:c r="A37" s="27" t="n">
        <x:v>46273.958333333336</x:v>
      </x:c>
      <x:c r="B37" s="27" t="str">
        <x:v>SIM-INCA-036</x:v>
      </x:c>
      <x:c r="C37" s="27" t="str">
        <x:v>inCampus</x:v>
      </x:c>
      <x:c r="D37" s="27" t="str">
        <x:v>架空データ解析</x:v>
      </x:c>
      <x:c r="E37" s="27" t="str">
        <x:v>仮想課題-036</x:v>
      </x:c>
      <x:c r="F37" s="27" t="n">
        <x:v>46268.62430555555</x:v>
      </x:c>
      <x:c r="G37" s="27" t="str">
        <x:v>期限検出</x:v>
      </x:c>
      <x:c r="H37" s="27" t="str">
        <x:v>新しい課題: 仮想課題-036</x:v>
      </x:c>
      <x:c r="I37" s="27" t="str">
        <x:v>架空担当A &lt;fixture-036@example.invalid&gt;</x:v>
      </x:c>
      <x:c r="J37" s="27" t="n">
        <x:v>46274.166666666664</x:v>
      </x:c>
      <x:c r="K37" s="27" t="str">
        <x:v>https://mail.example.invalid/thread/SIM-INCA-036</x:v>
      </x:c>
      <x:c r="L37" s="28" t="str">
        <x:v>履修者：SIM-000036
曜日・時限：月曜1限
授業名：架空データ解析
教員名：架空担当A
更新内容：
・課題（仮想課題-036）が追加されました。（2026/09/10 08:00）
参照：https://portal.example.invalid/demo/SIM-INCA-036</x:v>
      </x:c>
      <x:c r="M37" s="27" t="str">
        <x:v>未確認</x:v>
      </x:c>
      <x:c r="N37" s="27" t="str"/>
      <x:c r="O37" s="27" t="str"/>
      <x:c r="P37" s="27" t="str"/>
      <x:c r="Q37" s="36" t="n">
        <x:f>'テスト設定'!$B$2</x:f>
        <x:v>46298</x:v>
      </x:c>
      <x:c r="R37" s="36" t="n">
        <x:f>'テスト設定'!$B$2</x:f>
        <x:v>46298</x:v>
      </x:c>
      <x:c r="S37" s="36" t="n">
        <x:f>IF(F37="","",IF(ISNUMBER(F37),F37+'テスト設定'!$B$6,F37))</x:f>
        <x:v>46291.62430555555</x:v>
      </x:c>
      <x:c r="T37" s="36" t="n">
        <x:f>IF(S37="","",S37)</x:f>
        <x:v>46291.62430555555</x:v>
      </x:c>
    </x:row>
    <x:row r="38" ht="34" customHeight="1">
      <x:c r="A38" s="27" t="n">
        <x:v>46274</x:v>
      </x:c>
      <x:c r="B38" s="27" t="str">
        <x:v>SIM-INCA-037</x:v>
      </x:c>
      <x:c r="C38" s="27" t="str">
        <x:v>inCampus</x:v>
      </x:c>
      <x:c r="D38" s="27" t="str">
        <x:v>仮想心理演習</x:v>
      </x:c>
      <x:c r="E38" s="27" t="str">
        <x:v>仮想課題-037</x:v>
      </x:c>
      <x:c r="F38" s="27" t="n">
        <x:v>46269.62430555555</x:v>
      </x:c>
      <x:c r="G38" s="27" t="str">
        <x:v>期限検出</x:v>
      </x:c>
      <x:c r="H38" s="27" t="str">
        <x:v>新しい課題: 仮想課題-037</x:v>
      </x:c>
      <x:c r="I38" s="27" t="str">
        <x:v>架空担当B &lt;fixture-037@example.invalid&gt;</x:v>
      </x:c>
      <x:c r="J38" s="27" t="n">
        <x:v>46274.208333333336</x:v>
      </x:c>
      <x:c r="K38" s="27" t="str">
        <x:v>https://mail.example.invalid/thread/SIM-INCA-037</x:v>
      </x:c>
      <x:c r="L38" s="28" t="str">
        <x:v>履修者：SIM-000037
曜日・時限：火曜3限
授業名：仮想心理演習
教員名：架空担当B
更新内容：
・課題（仮想課題-037）が追加されました。（2026/09/10 08:00）
参照：https://portal.example.invalid/demo/SIM-INCA-037</x:v>
      </x:c>
      <x:c r="M38" s="27" t="str">
        <x:v>未確認</x:v>
      </x:c>
      <x:c r="N38" s="27" t="str"/>
      <x:c r="O38" s="27" t="str"/>
      <x:c r="P38" s="27" t="str"/>
      <x:c r="Q38" s="36" t="n">
        <x:f>'テスト設定'!$B$2</x:f>
        <x:v>46298</x:v>
      </x:c>
      <x:c r="R38" s="36" t="n">
        <x:f>'テスト設定'!$B$2</x:f>
        <x:v>46298</x:v>
      </x:c>
      <x:c r="S38" s="36" t="n">
        <x:f>IF(F38="","",IF(ISNUMBER(F38),F38+'テスト設定'!$B$6,F38))</x:f>
        <x:v>46292.62430555555</x:v>
      </x:c>
      <x:c r="T38" s="36" t="n">
        <x:f>IF(S38="","",S38)</x:f>
        <x:v>46292.62430555555</x:v>
      </x:c>
    </x:row>
    <x:row r="39" ht="34" customHeight="1">
      <x:c r="A39" s="27" t="n">
        <x:v>46274.041666666664</x:v>
      </x:c>
      <x:c r="B39" s="27" t="str">
        <x:v>SIM-INCA-038</x:v>
      </x:c>
      <x:c r="C39" s="27" t="str">
        <x:v>inCampus</x:v>
      </x:c>
      <x:c r="D39" s="27" t="str">
        <x:v>サンプル情報設計</x:v>
      </x:c>
      <x:c r="E39" s="27" t="str">
        <x:v>仮想課題-038</x:v>
      </x:c>
      <x:c r="F39" s="27" t="n">
        <x:v>46270.62430555555</x:v>
      </x:c>
      <x:c r="G39" s="27" t="str">
        <x:v>期限検出</x:v>
      </x:c>
      <x:c r="H39" s="27" t="str">
        <x:v>新しい課題: 仮想課題-038</x:v>
      </x:c>
      <x:c r="I39" s="27" t="str">
        <x:v>架空担当C &lt;fixture-038@example.invalid&gt;</x:v>
      </x:c>
      <x:c r="J39" s="27" t="n">
        <x:v>46274.25</x:v>
      </x:c>
      <x:c r="K39" s="27" t="str">
        <x:v>https://mail.example.invalid/thread/SIM-INCA-038</x:v>
      </x:c>
      <x:c r="L39" s="28" t="str">
        <x:v>履修者：SIM-000038
曜日・時限：金曜2限
授業名：サンプル情報設計
教員名：架空担当C
更新内容：
・課題（仮想課題-038）が追加されました。（2026/09/10 08:00）
参照：https://portal.example.invalid/demo/SIM-INCA-038</x:v>
      </x:c>
      <x:c r="M39" s="27" t="str">
        <x:v>未確認</x:v>
      </x:c>
      <x:c r="N39" s="27" t="str"/>
      <x:c r="O39" s="27" t="str"/>
      <x:c r="P39" s="27" t="str"/>
      <x:c r="Q39" s="36" t="n">
        <x:f>'テスト設定'!$B$2</x:f>
        <x:v>46298</x:v>
      </x:c>
      <x:c r="R39" s="36" t="n">
        <x:f>'テスト設定'!$B$2</x:f>
        <x:v>46298</x:v>
      </x:c>
      <x:c r="S39" s="36" t="n">
        <x:f>IF(F39="","",IF(ISNUMBER(F39),F39+'テスト設定'!$B$6,F39))</x:f>
        <x:v>46293.62430555555</x:v>
      </x:c>
      <x:c r="T39" s="36" t="n">
        <x:f>IF(S39="","",S39)</x:f>
        <x:v>46293.62430555555</x:v>
      </x:c>
    </x:row>
    <x:row r="40" ht="34" customHeight="1">
      <x:c r="A40" s="27" t="n">
        <x:v>46274.083333333336</x:v>
      </x:c>
      <x:c r="B40" s="27" t="str">
        <x:v>SIM-INCA-039</x:v>
      </x:c>
      <x:c r="C40" s="27" t="str">
        <x:v>inCampus</x:v>
      </x:c>
      <x:c r="D40" s="27" t="str">
        <x:v>架空データ解析</x:v>
      </x:c>
      <x:c r="E40" s="27" t="str">
        <x:v>仮想お知らせ-039</x:v>
      </x:c>
      <x:c r="F40" s="27" t="str"/>
      <x:c r="G40" s="27" t="str">
        <x:v>期限未検出・要確認</x:v>
      </x:c>
      <x:c r="H40" s="27" t="str">
        <x:v>新しいお知らせ: 仮想お知らせ-039</x:v>
      </x:c>
      <x:c r="I40" s="27" t="str">
        <x:v>架空担当A &lt;fixture-039@example.invalid&gt;</x:v>
      </x:c>
      <x:c r="J40" s="27" t="n">
        <x:v>46274.291666666664</x:v>
      </x:c>
      <x:c r="K40" s="27" t="str">
        <x:v>https://mail.example.invalid/thread/SIM-INCA-039</x:v>
      </x:c>
      <x:c r="L40" s="28" t="str">
        <x:v>履修者：SIM-000039
曜日・時限：月曜1限
授業名：架空データ解析
教員名：架空担当A
更新内容：
・お知らせ（仮想お知らせ-039）が追加されました。（2026/09/10 08:00）
参照：https://portal.example.invalid/demo/SIM-INCA-039</x:v>
      </x:c>
      <x:c r="M40" s="27" t="str">
        <x:v>未確認</x:v>
      </x:c>
      <x:c r="N40" s="27" t="str"/>
      <x:c r="O40" s="27" t="str"/>
      <x:c r="P40" s="27" t="str"/>
      <x:c r="Q40" s="36" t="n">
        <x:f>'テスト設定'!$B$2</x:f>
        <x:v>46298</x:v>
      </x:c>
      <x:c r="R40" s="36" t="n">
        <x:f>'テスト設定'!$B$2</x:f>
        <x:v>46298</x:v>
      </x:c>
      <x:c r="S40" s="36" t="str">
        <x:f>IF(F40="","",IF(ISNUMBER(F40),F40+'テスト設定'!$B$6,F40))</x:f>
      </x:c>
      <x:c r="T40" s="36" t="str">
        <x:f>IF(S40="","",S40)</x:f>
      </x:c>
    </x:row>
    <x:row r="41" ht="34" customHeight="1">
      <x:c r="A41" s="27" t="n">
        <x:v>46274.125</x:v>
      </x:c>
      <x:c r="B41" s="27" t="str">
        <x:v>SIM-INCA-040</x:v>
      </x:c>
      <x:c r="C41" s="27" t="str">
        <x:v>inCampus</x:v>
      </x:c>
      <x:c r="D41" s="27" t="str">
        <x:v>仮想心理演習</x:v>
      </x:c>
      <x:c r="E41" s="27" t="str">
        <x:v>仮想課題-040</x:v>
      </x:c>
      <x:c r="F41" s="27" t="n">
        <x:v>46272.62430555555</x:v>
      </x:c>
      <x:c r="G41" s="27" t="str">
        <x:v>期限検出</x:v>
      </x:c>
      <x:c r="H41" s="27" t="str">
        <x:v>新しい課題: 仮想課題-040</x:v>
      </x:c>
      <x:c r="I41" s="27" t="str">
        <x:v>架空担当B &lt;fixture-040@example.invalid&gt;</x:v>
      </x:c>
      <x:c r="J41" s="27" t="n">
        <x:v>46274</x:v>
      </x:c>
      <x:c r="K41" s="27" t="str">
        <x:v>https://mail.example.invalid/thread/SIM-INCA-040</x:v>
      </x:c>
      <x:c r="L41" s="28" t="str">
        <x:v>履修者：SIM-000040
曜日・時限：火曜3限
授業名：仮想心理演習
教員名：架空担当B
更新内容：
・課題（仮想課題-040）が追加されました。（2026/09/10 08:00）
参照：https://portal.example.invalid/demo/SIM-INCA-040</x:v>
      </x:c>
      <x:c r="M41" s="27" t="str">
        <x:v>未確認</x:v>
      </x:c>
      <x:c r="N41" s="27" t="str"/>
      <x:c r="O41" s="27" t="str"/>
      <x:c r="P41" s="27" t="str"/>
      <x:c r="Q41" s="36" t="n">
        <x:f>'テスト設定'!$B$2</x:f>
        <x:v>46298</x:v>
      </x:c>
      <x:c r="R41" s="36" t="n">
        <x:f>'テスト設定'!$B$2</x:f>
        <x:v>46298</x:v>
      </x:c>
      <x:c r="S41" s="36" t="n">
        <x:f>IF(F41="","",IF(ISNUMBER(F41),F41+'テスト設定'!$B$6,F41))</x:f>
        <x:v>46295.62430555555</x:v>
      </x:c>
      <x:c r="T41" s="36" t="n">
        <x:f>IF(S41="","",S41)</x:f>
        <x:v>46295.62430555555</x:v>
      </x:c>
    </x:row>
    <x:row r="42" ht="34" customHeight="1">
      <x:c r="A42" s="27" t="n">
        <x:v>46274.166666666664</x:v>
      </x:c>
      <x:c r="B42" s="27" t="str">
        <x:v>SIM-INCA-041</x:v>
      </x:c>
      <x:c r="C42" s="27" t="str">
        <x:v>inCampus</x:v>
      </x:c>
      <x:c r="D42" s="27" t="str">
        <x:v>サンプル情報設計</x:v>
      </x:c>
      <x:c r="E42" s="27" t="str">
        <x:v>仮想課題-041</x:v>
      </x:c>
      <x:c r="F42" s="27" t="n">
        <x:v>46273.62430555555</x:v>
      </x:c>
      <x:c r="G42" s="27" t="str">
        <x:v>期限検出</x:v>
      </x:c>
      <x:c r="H42" s="27" t="str">
        <x:v>新しい課題: 仮想課題-041</x:v>
      </x:c>
      <x:c r="I42" s="27" t="str">
        <x:v>架空担当C &lt;fixture-041@example.invalid&gt;</x:v>
      </x:c>
      <x:c r="J42" s="27" t="n">
        <x:v>46274.041666666664</x:v>
      </x:c>
      <x:c r="K42" s="27" t="str">
        <x:v>https://mail.example.invalid/thread/SIM-INCA-041</x:v>
      </x:c>
      <x:c r="L42" s="28" t="str">
        <x:v>履修者：SIM-000041
曜日・時限：金曜2限
授業名：サンプル情報設計
教員名：架空担当C
更新内容：
・課題（仮想課題-041）が追加されました。（2026/09/10 08:00）
参照：https://portal.example.invalid/demo/SIM-INCA-041</x:v>
      </x:c>
      <x:c r="M42" s="27" t="str">
        <x:v>未確認</x:v>
      </x:c>
      <x:c r="N42" s="27" t="str"/>
      <x:c r="O42" s="27" t="str"/>
      <x:c r="P42" s="27" t="str"/>
      <x:c r="Q42" s="36" t="n">
        <x:f>'テスト設定'!$B$2</x:f>
        <x:v>46298</x:v>
      </x:c>
      <x:c r="R42" s="36" t="n">
        <x:f>'テスト設定'!$B$2</x:f>
        <x:v>46298</x:v>
      </x:c>
      <x:c r="S42" s="36" t="n">
        <x:f>IF(F42="","",IF(ISNUMBER(F42),F42+'テスト設定'!$B$6,F42))</x:f>
        <x:v>46296.62430555555</x:v>
      </x:c>
      <x:c r="T42" s="36" t="n">
        <x:f>IF(S42="","",S42)</x:f>
        <x:v>46296.62430555555</x:v>
      </x:c>
    </x:row>
    <x:row r="43" ht="34" customHeight="1">
      <x:c r="A43" s="27" t="n">
        <x:v>46274.208333333336</x:v>
      </x:c>
      <x:c r="B43" s="27" t="str">
        <x:v>SIM-INCA-042</x:v>
      </x:c>
      <x:c r="C43" s="27" t="str">
        <x:v>inCampus</x:v>
      </x:c>
      <x:c r="D43" s="27" t="str">
        <x:v>架空データ解析</x:v>
      </x:c>
      <x:c r="E43" s="27" t="str">
        <x:v>仮想課題-042</x:v>
      </x:c>
      <x:c r="F43" s="27" t="n">
        <x:v>46274.62430555555</x:v>
      </x:c>
      <x:c r="G43" s="27" t="str">
        <x:v>期限検出</x:v>
      </x:c>
      <x:c r="H43" s="27" t="str">
        <x:v>新しい課題: 仮想課題-042</x:v>
      </x:c>
      <x:c r="I43" s="27" t="str">
        <x:v>架空担当A &lt;fixture-042@example.invalid&gt;</x:v>
      </x:c>
      <x:c r="J43" s="27" t="n">
        <x:v>46274.083333333336</x:v>
      </x:c>
      <x:c r="K43" s="27" t="str">
        <x:v>https://mail.example.invalid/thread/SIM-INCA-042</x:v>
      </x:c>
      <x:c r="L43" s="28" t="str">
        <x:v>履修者：SIM-000042
曜日・時限：月曜1限
授業名：架空データ解析
教員名：架空担当A
更新内容：
・課題（仮想課題-042）が追加されました。（2026/09/10 08:00）
参照：https://portal.example.invalid/demo/SIM-INCA-042</x:v>
      </x:c>
      <x:c r="M43" s="27" t="str">
        <x:v>未確認</x:v>
      </x:c>
      <x:c r="N43" s="27" t="str"/>
      <x:c r="O43" s="27" t="str"/>
      <x:c r="P43" s="27" t="str"/>
      <x:c r="Q43" s="36" t="n">
        <x:f>'テスト設定'!$B$2</x:f>
        <x:v>46298</x:v>
      </x:c>
      <x:c r="R43" s="36" t="n">
        <x:f>'テスト設定'!$B$2</x:f>
        <x:v>46298</x:v>
      </x:c>
      <x:c r="S43" s="36" t="n">
        <x:f>IF(F43="","",IF(ISNUMBER(F43),F43+'テスト設定'!$B$6,F43))</x:f>
        <x:v>46297.62430555555</x:v>
      </x:c>
      <x:c r="T43" s="36" t="n">
        <x:f>IF(S43="","",S43)</x:f>
        <x:v>46297.62430555555</x:v>
      </x:c>
    </x:row>
    <x:row r="44" ht="34" customHeight="1">
      <x:c r="A44" s="27" t="n">
        <x:v>46274.25</x:v>
      </x:c>
      <x:c r="B44" s="27" t="str">
        <x:v>SIM-INCA-043</x:v>
      </x:c>
      <x:c r="C44" s="27" t="str">
        <x:v>inCampus</x:v>
      </x:c>
      <x:c r="D44" s="27" t="str">
        <x:v>仮想心理演習</x:v>
      </x:c>
      <x:c r="E44" s="27" t="str">
        <x:v>仮想課題-043</x:v>
      </x:c>
      <x:c r="F44" s="27" t="n">
        <x:v>46275.62430555555</x:v>
      </x:c>
      <x:c r="G44" s="27" t="str">
        <x:v>期限検出</x:v>
      </x:c>
      <x:c r="H44" s="27" t="str">
        <x:v>新しい課題: 仮想課題-043</x:v>
      </x:c>
      <x:c r="I44" s="27" t="str">
        <x:v>架空担当B &lt;fixture-043@example.invalid&gt;</x:v>
      </x:c>
      <x:c r="J44" s="27" t="n">
        <x:v>46274.125</x:v>
      </x:c>
      <x:c r="K44" s="27" t="str">
        <x:v>https://mail.example.invalid/thread/SIM-INCA-043</x:v>
      </x:c>
      <x:c r="L44" s="28" t="str">
        <x:v>履修者：SIM-000043
曜日・時限：火曜3限
授業名：仮想心理演習
教員名：架空担当B
更新内容：
・課題（仮想課題-043）が追加されました。（2026/09/10 08:00）
参照：https://portal.example.invalid/demo/SIM-INCA-043</x:v>
      </x:c>
      <x:c r="M44" s="27" t="str">
        <x:v>未確認</x:v>
      </x:c>
      <x:c r="N44" s="27" t="str"/>
      <x:c r="O44" s="27" t="str"/>
      <x:c r="P44" s="27" t="str"/>
      <x:c r="Q44" s="36" t="n">
        <x:f>'テスト設定'!$B$2</x:f>
        <x:v>46298</x:v>
      </x:c>
      <x:c r="R44" s="36" t="n">
        <x:f>'テスト設定'!$B$2</x:f>
        <x:v>46298</x:v>
      </x:c>
      <x:c r="S44" s="36" t="n">
        <x:f>IF(F44="","",IF(ISNUMBER(F44),F44+'テスト設定'!$B$6,F44))</x:f>
        <x:v>46298.62430555555</x:v>
      </x:c>
      <x:c r="T44" s="36" t="n">
        <x:f>IF(S44="","",S44)</x:f>
        <x:v>46298.62430555555</x:v>
      </x:c>
    </x:row>
    <x:row r="45" ht="34" customHeight="1">
      <x:c r="A45" s="27" t="n">
        <x:v>46274.291666666664</x:v>
      </x:c>
      <x:c r="B45" s="27" t="str">
        <x:v>SIM-INCA-044</x:v>
      </x:c>
      <x:c r="C45" s="27" t="str">
        <x:v>inCampus</x:v>
      </x:c>
      <x:c r="D45" s="27" t="str">
        <x:v>サンプル情報設計</x:v>
      </x:c>
      <x:c r="E45" s="27" t="str">
        <x:v>仮想課題-044</x:v>
      </x:c>
      <x:c r="F45" s="27" t="n">
        <x:v>46276.62430555555</x:v>
      </x:c>
      <x:c r="G45" s="27" t="str">
        <x:v>期限検出</x:v>
      </x:c>
      <x:c r="H45" s="27" t="str">
        <x:v>新しい課題: 仮想課題-044</x:v>
      </x:c>
      <x:c r="I45" s="27" t="str">
        <x:v>架空担当C &lt;fixture-044@example.invalid&gt;</x:v>
      </x:c>
      <x:c r="J45" s="27" t="n">
        <x:v>46274.166666666664</x:v>
      </x:c>
      <x:c r="K45" s="27" t="str">
        <x:v>https://mail.example.invalid/thread/SIM-INCA-044</x:v>
      </x:c>
      <x:c r="L45" s="28" t="str">
        <x:v>履修者：SIM-000044
曜日・時限：金曜2限
授業名：サンプル情報設計
教員名：架空担当C
更新内容：
・課題（仮想課題-044）が追加されました。（2026/09/10 08:00）
参照：https://portal.example.invalid/demo/SIM-INCA-044</x:v>
      </x:c>
      <x:c r="M45" s="27" t="str">
        <x:v>未確認</x:v>
      </x:c>
      <x:c r="N45" s="27" t="str"/>
      <x:c r="O45" s="27" t="str"/>
      <x:c r="P45" s="27" t="str"/>
      <x:c r="Q45" s="36" t="n">
        <x:f>'テスト設定'!$B$2</x:f>
        <x:v>46298</x:v>
      </x:c>
      <x:c r="R45" s="36" t="n">
        <x:f>'テスト設定'!$B$2</x:f>
        <x:v>46298</x:v>
      </x:c>
      <x:c r="S45" s="36" t="n">
        <x:f>IF(F45="","",IF(ISNUMBER(F45),F45+'テスト設定'!$B$6,F45))</x:f>
        <x:v>46299.62430555555</x:v>
      </x:c>
      <x:c r="T45" s="36" t="n">
        <x:f>IF(S45="","",S45)</x:f>
        <x:v>46299.62430555555</x:v>
      </x:c>
    </x:row>
    <x:row r="46" ht="34" customHeight="1">
      <x:c r="A46" s="27" t="n">
        <x:v>46273.958333333336</x:v>
      </x:c>
      <x:c r="B46" s="27" t="str">
        <x:v>SIM-INCA-045</x:v>
      </x:c>
      <x:c r="C46" s="27" t="str">
        <x:v>inCampus</x:v>
      </x:c>
      <x:c r="D46" s="27" t="str">
        <x:v>架空データ解析</x:v>
      </x:c>
      <x:c r="E46" s="27" t="str">
        <x:v>仮想課題-045</x:v>
      </x:c>
      <x:c r="F46" s="27" t="n">
        <x:v>46277.62430555555</x:v>
      </x:c>
      <x:c r="G46" s="27" t="str">
        <x:v>期限検出</x:v>
      </x:c>
      <x:c r="H46" s="27" t="str">
        <x:v>新しい課題: 仮想課題-045</x:v>
      </x:c>
      <x:c r="I46" s="27" t="str">
        <x:v>架空担当A &lt;fixture-045@example.invalid&gt;</x:v>
      </x:c>
      <x:c r="J46" s="27" t="n">
        <x:v>46274.208333333336</x:v>
      </x:c>
      <x:c r="K46" s="27" t="str">
        <x:v>https://mail.example.invalid/thread/SIM-INCA-045</x:v>
      </x:c>
      <x:c r="L46" s="28" t="str">
        <x:v>履修者：SIM-000045
曜日・時限：月曜1限
授業名：架空データ解析
教員名：架空担当A
更新内容：
・課題（仮想課題-045）が追加されました。（2026/09/10 08:00）
参照：https://portal.example.invalid/demo/SIM-INCA-045</x:v>
      </x:c>
      <x:c r="M46" s="27" t="str">
        <x:v>未確認</x:v>
      </x:c>
      <x:c r="N46" s="27" t="str"/>
      <x:c r="O46" s="27" t="str"/>
      <x:c r="P46" s="27" t="str"/>
      <x:c r="Q46" s="36" t="n">
        <x:f>'テスト設定'!$B$2</x:f>
        <x:v>46298</x:v>
      </x:c>
      <x:c r="R46" s="36" t="n">
        <x:f>'テスト設定'!$B$2</x:f>
        <x:v>46298</x:v>
      </x:c>
      <x:c r="S46" s="36" t="n">
        <x:f>IF(F46="","",IF(ISNUMBER(F46),F46+'テスト設定'!$B$6,F46))</x:f>
        <x:v>46300.62430555555</x:v>
      </x:c>
      <x:c r="T46" s="36" t="n">
        <x:f>IF(S46="","",S46)</x:f>
        <x:v>46300.62430555555</x:v>
      </x:c>
    </x:row>
    <x:row r="47" ht="34" customHeight="1">
      <x:c r="A47" s="27" t="n">
        <x:v>46274</x:v>
      </x:c>
      <x:c r="B47" s="27" t="str">
        <x:v>SIM-INCA-046</x:v>
      </x:c>
      <x:c r="C47" s="27" t="str">
        <x:v>inCampus</x:v>
      </x:c>
      <x:c r="D47" s="27" t="str">
        <x:v>仮想心理演習</x:v>
      </x:c>
      <x:c r="E47" s="27" t="str">
        <x:v>仮想課題-046</x:v>
      </x:c>
      <x:c r="F47" s="27" t="n">
        <x:v>46278.62430555555</x:v>
      </x:c>
      <x:c r="G47" s="27" t="str">
        <x:v>期限検出</x:v>
      </x:c>
      <x:c r="H47" s="27" t="str">
        <x:v>新しい課題: 仮想課題-046</x:v>
      </x:c>
      <x:c r="I47" s="27" t="str">
        <x:v>架空担当B &lt;fixture-046@example.invalid&gt;</x:v>
      </x:c>
      <x:c r="J47" s="27" t="n">
        <x:v>46274.25</x:v>
      </x:c>
      <x:c r="K47" s="27" t="str">
        <x:v>https://mail.example.invalid/thread/SIM-INCA-046</x:v>
      </x:c>
      <x:c r="L47" s="28" t="str">
        <x:v>履修者：SIM-000046
曜日・時限：火曜3限
授業名：仮想心理演習
教員名：架空担当B
更新内容：
・課題（仮想課題-046）が追加されました。（2026/09/10 08:00）
参照：https://portal.example.invalid/demo/SIM-INCA-046</x:v>
      </x:c>
      <x:c r="M47" s="27" t="str">
        <x:v>未確認</x:v>
      </x:c>
      <x:c r="N47" s="27" t="str"/>
      <x:c r="O47" s="27" t="str"/>
      <x:c r="P47" s="27" t="str"/>
      <x:c r="Q47" s="36" t="n">
        <x:f>'テスト設定'!$B$2</x:f>
        <x:v>46298</x:v>
      </x:c>
      <x:c r="R47" s="36" t="n">
        <x:f>'テスト設定'!$B$2</x:f>
        <x:v>46298</x:v>
      </x:c>
      <x:c r="S47" s="36" t="n">
        <x:f>IF(F47="","",IF(ISNUMBER(F47),F47+'テスト設定'!$B$6,F47))</x:f>
        <x:v>46301.62430555555</x:v>
      </x:c>
      <x:c r="T47" s="36" t="n">
        <x:f>IF(S47="","",S47)</x:f>
        <x:v>46301.62430555555</x:v>
      </x:c>
    </x:row>
    <x:row r="48" ht="34" customHeight="1">
      <x:c r="A48" s="27" t="n">
        <x:v>46274.041666666664</x:v>
      </x:c>
      <x:c r="B48" s="27" t="str">
        <x:v>SIM-INCA-047</x:v>
      </x:c>
      <x:c r="C48" s="27" t="str">
        <x:v>inCampus</x:v>
      </x:c>
      <x:c r="D48" s="27" t="str">
        <x:v>サンプル情報設計</x:v>
      </x:c>
      <x:c r="E48" s="27" t="str">
        <x:v>仮想課題-047</x:v>
      </x:c>
      <x:c r="F48" s="27" t="n">
        <x:v>46279.62430555555</x:v>
      </x:c>
      <x:c r="G48" s="27" t="str">
        <x:v>期限検出</x:v>
      </x:c>
      <x:c r="H48" s="27" t="str">
        <x:v>新しい課題: 仮想課題-047</x:v>
      </x:c>
      <x:c r="I48" s="27" t="str">
        <x:v>架空担当C &lt;fixture-047@example.invalid&gt;</x:v>
      </x:c>
      <x:c r="J48" s="27" t="n">
        <x:v>46274.291666666664</x:v>
      </x:c>
      <x:c r="K48" s="27" t="str">
        <x:v>https://mail.example.invalid/thread/SIM-INCA-047</x:v>
      </x:c>
      <x:c r="L48" s="28" t="str">
        <x:v>履修者：SIM-000047
曜日・時限：金曜2限
授業名：サンプル情報設計
教員名：架空担当C
更新内容：
・課題（仮想課題-047）が追加されました。（2026/09/10 08:00）
参照：https://portal.example.invalid/demo/SIM-INCA-047</x:v>
      </x:c>
      <x:c r="M48" s="27" t="str">
        <x:v>未確認</x:v>
      </x:c>
      <x:c r="N48" s="27" t="str"/>
      <x:c r="O48" s="27" t="str"/>
      <x:c r="P48" s="27" t="str"/>
      <x:c r="Q48" s="36" t="n">
        <x:f>'テスト設定'!$B$2</x:f>
        <x:v>46298</x:v>
      </x:c>
      <x:c r="R48" s="36" t="n">
        <x:f>'テスト設定'!$B$2</x:f>
        <x:v>46298</x:v>
      </x:c>
      <x:c r="S48" s="36" t="n">
        <x:f>IF(F48="","",IF(ISNUMBER(F48),F48+'テスト設定'!$B$6,F48))</x:f>
        <x:v>46302.62430555555</x:v>
      </x:c>
      <x:c r="T48" s="36" t="n">
        <x:f>IF(S48="","",S48)</x:f>
        <x:v>46302.62430555555</x:v>
      </x:c>
    </x:row>
    <x:row r="49" ht="34" customHeight="1">
      <x:c r="A49" s="27" t="n">
        <x:v>46274.083333333336</x:v>
      </x:c>
      <x:c r="B49" s="27" t="str">
        <x:v>SIM-INCA-048</x:v>
      </x:c>
      <x:c r="C49" s="27" t="str">
        <x:v>inCampus</x:v>
      </x:c>
      <x:c r="D49" s="27" t="str">
        <x:v>架空データ解析</x:v>
      </x:c>
      <x:c r="E49" s="27" t="str">
        <x:v>仮想課題-048</x:v>
      </x:c>
      <x:c r="F49" s="27" t="n">
        <x:v>46280.62430555555</x:v>
      </x:c>
      <x:c r="G49" s="27" t="str">
        <x:v>期限検出</x:v>
      </x:c>
      <x:c r="H49" s="27" t="str">
        <x:v>新しい課題: 仮想課題-048</x:v>
      </x:c>
      <x:c r="I49" s="27" t="str">
        <x:v>架空担当A &lt;fixture-048@example.invalid&gt;</x:v>
      </x:c>
      <x:c r="J49" s="27" t="n">
        <x:v>46274</x:v>
      </x:c>
      <x:c r="K49" s="27" t="str">
        <x:v>https://mail.example.invalid/thread/SIM-INCA-048</x:v>
      </x:c>
      <x:c r="L49" s="28" t="str">
        <x:v>履修者：SIM-000048
曜日・時限：月曜1限
授業名：架空データ解析
教員名：架空担当A
更新内容：
・課題（仮想課題-048）が追加されました。（2026/09/10 08:00）
参照：https://portal.example.invalid/demo/SIM-INCA-048</x:v>
      </x:c>
      <x:c r="M49" s="27" t="str">
        <x:v>未確認</x:v>
      </x:c>
      <x:c r="N49" s="27" t="str"/>
      <x:c r="O49" s="27" t="str"/>
      <x:c r="P49" s="27" t="str"/>
      <x:c r="Q49" s="36" t="n">
        <x:f>'テスト設定'!$B$2</x:f>
        <x:v>46298</x:v>
      </x:c>
      <x:c r="R49" s="36" t="n">
        <x:f>'テスト設定'!$B$2</x:f>
        <x:v>46298</x:v>
      </x:c>
      <x:c r="S49" s="36" t="n">
        <x:f>IF(F49="","",IF(ISNUMBER(F49),F49+'テスト設定'!$B$6,F49))</x:f>
        <x:v>46303.62430555555</x:v>
      </x:c>
      <x:c r="T49" s="36" t="n">
        <x:f>IF(S49="","",S49)</x:f>
        <x:v>46303.62430555555</x:v>
      </x:c>
    </x:row>
    <x:row r="50" ht="34" customHeight="1">
      <x:c r="A50" s="27" t="n">
        <x:v>46274.125</x:v>
      </x:c>
      <x:c r="B50" s="27" t="str">
        <x:v>SIM-INCA-049</x:v>
      </x:c>
      <x:c r="C50" s="27" t="str">
        <x:v>inCampus</x:v>
      </x:c>
      <x:c r="D50" s="27" t="str">
        <x:v>仮想心理演習</x:v>
      </x:c>
      <x:c r="E50" s="27" t="str">
        <x:v>仮想課題-049</x:v>
      </x:c>
      <x:c r="F50" s="27" t="n">
        <x:v>46281.62430555555</x:v>
      </x:c>
      <x:c r="G50" s="27" t="str">
        <x:v>期限検出</x:v>
      </x:c>
      <x:c r="H50" s="27" t="str">
        <x:v>新しい課題: 仮想課題-049</x:v>
      </x:c>
      <x:c r="I50" s="27" t="str">
        <x:v>架空担当B &lt;fixture-049@example.invalid&gt;</x:v>
      </x:c>
      <x:c r="J50" s="27" t="n">
        <x:v>46274.041666666664</x:v>
      </x:c>
      <x:c r="K50" s="27" t="str">
        <x:v>https://mail.example.invalid/thread/SIM-INCA-049</x:v>
      </x:c>
      <x:c r="L50" s="28" t="str">
        <x:v>履修者：SIM-000049
曜日・時限：火曜3限
授業名：仮想心理演習
教員名：架空担当B
更新内容：
・課題（仮想課題-049）が追加されました。（2026/09/10 08:00）
参照：https://portal.example.invalid/demo/SIM-INCA-049</x:v>
      </x:c>
      <x:c r="M50" s="27" t="str">
        <x:v>未確認</x:v>
      </x:c>
      <x:c r="N50" s="27" t="str"/>
      <x:c r="O50" s="27" t="str"/>
      <x:c r="P50" s="27" t="str"/>
      <x:c r="Q50" s="36" t="n">
        <x:f>'テスト設定'!$B$2</x:f>
        <x:v>46298</x:v>
      </x:c>
      <x:c r="R50" s="36" t="n">
        <x:f>'テスト設定'!$B$2</x:f>
        <x:v>46298</x:v>
      </x:c>
      <x:c r="S50" s="36" t="n">
        <x:f>IF(F50="","",IF(ISNUMBER(F50),F50+'テスト設定'!$B$6,F50))</x:f>
        <x:v>46304.62430555555</x:v>
      </x:c>
      <x:c r="T50" s="36" t="n">
        <x:f>IF(S50="","",S50)</x:f>
        <x:v>46304.62430555555</x:v>
      </x:c>
    </x:row>
    <x:row r="51" ht="34" customHeight="1">
      <x:c r="A51" s="27" t="n">
        <x:v>46274.166666666664</x:v>
      </x:c>
      <x:c r="B51" s="27" t="str">
        <x:v>SIM-INCA-050</x:v>
      </x:c>
      <x:c r="C51" s="27" t="str">
        <x:v>inCampus</x:v>
      </x:c>
      <x:c r="D51" s="27" t="str">
        <x:v>サンプル情報設計</x:v>
      </x:c>
      <x:c r="E51" s="27" t="str">
        <x:v>仮想課題-050</x:v>
      </x:c>
      <x:c r="F51" s="27" t="n">
        <x:v>46282.62430555555</x:v>
      </x:c>
      <x:c r="G51" s="27" t="str">
        <x:v>期限検出</x:v>
      </x:c>
      <x:c r="H51" s="27" t="str">
        <x:v>新しい課題: 仮想課題-050</x:v>
      </x:c>
      <x:c r="I51" s="27" t="str">
        <x:v>架空担当C &lt;fixture-050@example.invalid&gt;</x:v>
      </x:c>
      <x:c r="J51" s="27" t="n">
        <x:v>46274.083333333336</x:v>
      </x:c>
      <x:c r="K51" s="27" t="str">
        <x:v>https://mail.example.invalid/thread/SIM-INCA-050</x:v>
      </x:c>
      <x:c r="L51" s="28" t="str">
        <x:v>履修者：SIM-000050
曜日・時限：金曜2限
授業名：サンプル情報設計
教員名：架空担当C
更新内容：
・課題（仮想課題-050）が追加されました。（2026/09/10 08:00）
参照：https://portal.example.invalid/demo/SIM-INCA-050</x:v>
      </x:c>
      <x:c r="M51" s="27" t="str">
        <x:v>未確認</x:v>
      </x:c>
      <x:c r="N51" s="27" t="str"/>
      <x:c r="O51" s="27" t="str"/>
      <x:c r="P51" s="27" t="str"/>
      <x:c r="Q51" s="36" t="n">
        <x:f>'テスト設定'!$B$2</x:f>
        <x:v>46298</x:v>
      </x:c>
      <x:c r="R51" s="36" t="n">
        <x:f>'テスト設定'!$B$2</x:f>
        <x:v>46298</x:v>
      </x:c>
      <x:c r="S51" s="36" t="n">
        <x:f>IF(F51="","",IF(ISNUMBER(F51),F51+'テスト設定'!$B$6,F51))</x:f>
        <x:v>46305.62430555555</x:v>
      </x:c>
      <x:c r="T51" s="36" t="n">
        <x:f>IF(S51="","",S51)</x:f>
        <x:v>46305.62430555555</x:v>
      </x:c>
    </x:row>
    <x:row r="52" ht="34" customHeight="1">
      <x:c r="A52" s="27" t="n">
        <x:v>46274.208333333336</x:v>
      </x:c>
      <x:c r="B52" s="27" t="str">
        <x:v>SIM-INCA-051</x:v>
      </x:c>
      <x:c r="C52" s="27" t="str">
        <x:v>inCampus</x:v>
      </x:c>
      <x:c r="D52" s="27" t="str">
        <x:v>架空データ解析</x:v>
      </x:c>
      <x:c r="E52" s="27" t="str">
        <x:v>仮想課題-051</x:v>
      </x:c>
      <x:c r="F52" s="27" t="n">
        <x:v>46283.62430555555</x:v>
      </x:c>
      <x:c r="G52" s="27" t="str">
        <x:v>期限検出</x:v>
      </x:c>
      <x:c r="H52" s="27" t="str">
        <x:v>新しい課題: 仮想課題-051</x:v>
      </x:c>
      <x:c r="I52" s="27" t="str">
        <x:v>架空担当A &lt;fixture-051@example.invalid&gt;</x:v>
      </x:c>
      <x:c r="J52" s="27" t="n">
        <x:v>46274.125</x:v>
      </x:c>
      <x:c r="K52" s="27" t="str">
        <x:v>https://mail.example.invalid/thread/SIM-INCA-051</x:v>
      </x:c>
      <x:c r="L52" s="28" t="str">
        <x:v>履修者：SIM-000051
曜日・時限：月曜1限
授業名：架空データ解析
教員名：架空担当A
更新内容：
・課題（仮想課題-051）が追加されました。（2026/09/10 08:00）
参照：https://portal.example.invalid/demo/SIM-INCA-051</x:v>
      </x:c>
      <x:c r="M52" s="27" t="str">
        <x:v>未確認</x:v>
      </x:c>
      <x:c r="N52" s="27" t="str"/>
      <x:c r="O52" s="27" t="str"/>
      <x:c r="P52" s="27" t="str"/>
      <x:c r="Q52" s="36" t="n">
        <x:f>'テスト設定'!$B$2</x:f>
        <x:v>46298</x:v>
      </x:c>
      <x:c r="R52" s="36" t="n">
        <x:f>'テスト設定'!$B$2</x:f>
        <x:v>46298</x:v>
      </x:c>
      <x:c r="S52" s="36" t="n">
        <x:f>IF(F52="","",IF(ISNUMBER(F52),F52+'テスト設定'!$B$6,F52))</x:f>
        <x:v>46306.62430555555</x:v>
      </x:c>
      <x:c r="T52" s="36" t="n">
        <x:f>IF(S52="","",S52)</x:f>
        <x:v>46306.62430555555</x:v>
      </x:c>
    </x:row>
    <x:row r="53" ht="34" customHeight="1">
      <x:c r="A53" s="27" t="n">
        <x:v>46274.25</x:v>
      </x:c>
      <x:c r="B53" s="27" t="str">
        <x:v>SIM-INCA-052</x:v>
      </x:c>
      <x:c r="C53" s="27" t="str">
        <x:v>inCampus</x:v>
      </x:c>
      <x:c r="D53" s="27" t="str">
        <x:v>仮想心理演習</x:v>
      </x:c>
      <x:c r="E53" s="27" t="str">
        <x:v>仮想お知らせ-052</x:v>
      </x:c>
      <x:c r="F53" s="27" t="str"/>
      <x:c r="G53" s="27" t="str">
        <x:v>期限未検出・要確認</x:v>
      </x:c>
      <x:c r="H53" s="27" t="str">
        <x:v>新しいお知らせ: 仮想お知らせ-052</x:v>
      </x:c>
      <x:c r="I53" s="27" t="str">
        <x:v>架空担当B &lt;fixture-052@example.invalid&gt;</x:v>
      </x:c>
      <x:c r="J53" s="27" t="n">
        <x:v>46274.166666666664</x:v>
      </x:c>
      <x:c r="K53" s="27" t="str">
        <x:v>https://mail.example.invalid/thread/SIM-INCA-052</x:v>
      </x:c>
      <x:c r="L53" s="28" t="str">
        <x:v>履修者：SIM-000052
曜日・時限：火曜3限
授業名：仮想心理演習
教員名：架空担当B
更新内容：
・お知らせ（仮想お知らせ-052）が追加されました。（2026/09/10 08:00）
参照：https://portal.example.invalid/demo/SIM-INCA-052</x:v>
      </x:c>
      <x:c r="M53" s="27" t="str">
        <x:v>未確認</x:v>
      </x:c>
      <x:c r="N53" s="27" t="str"/>
      <x:c r="O53" s="27" t="str"/>
      <x:c r="P53" s="27" t="str"/>
      <x:c r="Q53" s="36" t="n">
        <x:f>'テスト設定'!$B$2</x:f>
        <x:v>46298</x:v>
      </x:c>
      <x:c r="R53" s="36" t="n">
        <x:f>'テスト設定'!$B$2</x:f>
        <x:v>46298</x:v>
      </x:c>
      <x:c r="S53" s="36" t="str">
        <x:f>IF(F53="","",IF(ISNUMBER(F53),F53+'テスト設定'!$B$6,F53))</x:f>
      </x:c>
      <x:c r="T53" s="36" t="str">
        <x:f>IF(S53="","",S53)</x:f>
      </x:c>
    </x:row>
    <x:row r="54" ht="34" customHeight="1">
      <x:c r="A54" s="27" t="n">
        <x:v>46274.291666666664</x:v>
      </x:c>
      <x:c r="B54" s="27" t="str">
        <x:v>SIM-INCA-053</x:v>
      </x:c>
      <x:c r="C54" s="27" t="str">
        <x:v>inCampus</x:v>
      </x:c>
      <x:c r="D54" s="27" t="str">
        <x:v>サンプル情報設計</x:v>
      </x:c>
      <x:c r="E54" s="27" t="str">
        <x:v>仮想課題-053</x:v>
      </x:c>
      <x:c r="F54" s="27" t="n">
        <x:v>46285.62430555555</x:v>
      </x:c>
      <x:c r="G54" s="27" t="str">
        <x:v>期限検出</x:v>
      </x:c>
      <x:c r="H54" s="27" t="str">
        <x:v>新しい課題: 仮想課題-053</x:v>
      </x:c>
      <x:c r="I54" s="27" t="str">
        <x:v>架空担当C &lt;fixture-053@example.invalid&gt;</x:v>
      </x:c>
      <x:c r="J54" s="27" t="n">
        <x:v>46274.208333333336</x:v>
      </x:c>
      <x:c r="K54" s="27" t="str">
        <x:v>https://mail.example.invalid/thread/SIM-INCA-053</x:v>
      </x:c>
      <x:c r="L54" s="28" t="str">
        <x:v>履修者：SIM-000053
曜日・時限：金曜2限
授業名：サンプル情報設計
教員名：架空担当C
更新内容：
・課題（仮想課題-053）が追加されました。（2026/09/10 08:00）
参照：https://portal.example.invalid/demo/SIM-INCA-053</x:v>
      </x:c>
      <x:c r="M54" s="27" t="str">
        <x:v>未確認</x:v>
      </x:c>
      <x:c r="N54" s="27" t="str"/>
      <x:c r="O54" s="27" t="str"/>
      <x:c r="P54" s="27" t="str"/>
      <x:c r="Q54" s="36" t="n">
        <x:f>'テスト設定'!$B$2</x:f>
        <x:v>46298</x:v>
      </x:c>
      <x:c r="R54" s="36" t="n">
        <x:f>'テスト設定'!$B$2</x:f>
        <x:v>46298</x:v>
      </x:c>
      <x:c r="S54" s="36" t="n">
        <x:f>IF(F54="","",IF(ISNUMBER(F54),F54+'テスト設定'!$B$6,F54))</x:f>
        <x:v>46308.62430555555</x:v>
      </x:c>
      <x:c r="T54" s="36" t="n">
        <x:f>IF(S54="","",S54)</x:f>
        <x:v>46308.62430555555</x:v>
      </x:c>
    </x:row>
    <x:row r="55" ht="34" customHeight="1">
      <x:c r="A55" s="27" t="n">
        <x:v>46273.958333333336</x:v>
      </x:c>
      <x:c r="B55" s="27" t="str">
        <x:v>SIM-INCA-054</x:v>
      </x:c>
      <x:c r="C55" s="27" t="str">
        <x:v>inCampus</x:v>
      </x:c>
      <x:c r="D55" s="27" t="str">
        <x:v>架空データ解析</x:v>
      </x:c>
      <x:c r="E55" s="27" t="str">
        <x:v>仮想課題-054</x:v>
      </x:c>
      <x:c r="F55" s="27" t="n">
        <x:v>46268.62430555555</x:v>
      </x:c>
      <x:c r="G55" s="27" t="str">
        <x:v>期限検出</x:v>
      </x:c>
      <x:c r="H55" s="27" t="str">
        <x:v>新しい課題: 仮想課題-054</x:v>
      </x:c>
      <x:c r="I55" s="27" t="str">
        <x:v>架空担当A &lt;fixture-054@example.invalid&gt;</x:v>
      </x:c>
      <x:c r="J55" s="27" t="n">
        <x:v>46274.25</x:v>
      </x:c>
      <x:c r="K55" s="27" t="str">
        <x:v>https://mail.example.invalid/thread/SIM-INCA-054</x:v>
      </x:c>
      <x:c r="L55" s="28" t="str">
        <x:v>履修者：SIM-000054
曜日・時限：月曜1限
授業名：架空データ解析
教員名：架空担当A
更新内容：
・課題（仮想課題-054）が追加されました。（2026/09/10 08:00）
参照：https://portal.example.invalid/demo/SIM-INCA-054</x:v>
      </x:c>
      <x:c r="M55" s="27" t="str">
        <x:v>未確認</x:v>
      </x:c>
      <x:c r="N55" s="27" t="str"/>
      <x:c r="O55" s="27" t="str"/>
      <x:c r="P55" s="27" t="str"/>
      <x:c r="Q55" s="36" t="n">
        <x:f>'テスト設定'!$B$2</x:f>
        <x:v>46298</x:v>
      </x:c>
      <x:c r="R55" s="36" t="n">
        <x:f>'テスト設定'!$B$2</x:f>
        <x:v>46298</x:v>
      </x:c>
      <x:c r="S55" s="36" t="n">
        <x:f>IF(F55="","",IF(ISNUMBER(F55),F55+'テスト設定'!$B$6,F55))</x:f>
        <x:v>46291.62430555555</x:v>
      </x:c>
      <x:c r="T55" s="36" t="n">
        <x:f>IF(S55="","",S55)</x:f>
        <x:v>46291.62430555555</x:v>
      </x:c>
    </x:row>
    <x:row r="56" ht="34" customHeight="1">
      <x:c r="A56" s="27" t="n">
        <x:v>46274</x:v>
      </x:c>
      <x:c r="B56" s="27" t="str">
        <x:v>SIM-INCA-055</x:v>
      </x:c>
      <x:c r="C56" s="27" t="str">
        <x:v>inCampus</x:v>
      </x:c>
      <x:c r="D56" s="27" t="str">
        <x:v>仮想心理演習</x:v>
      </x:c>
      <x:c r="E56" s="27" t="str">
        <x:v>仮想課題-055</x:v>
      </x:c>
      <x:c r="F56" s="27" t="n">
        <x:v>46269.62430555555</x:v>
      </x:c>
      <x:c r="G56" s="27" t="str">
        <x:v>期限検出</x:v>
      </x:c>
      <x:c r="H56" s="27" t="str">
        <x:v>新しい課題: 仮想課題-055</x:v>
      </x:c>
      <x:c r="I56" s="27" t="str">
        <x:v>架空担当B &lt;fixture-055@example.invalid&gt;</x:v>
      </x:c>
      <x:c r="J56" s="27" t="n">
        <x:v>46274.291666666664</x:v>
      </x:c>
      <x:c r="K56" s="27" t="str">
        <x:v>https://mail.example.invalid/thread/SIM-INCA-055</x:v>
      </x:c>
      <x:c r="L56" s="28" t="str">
        <x:v>履修者：SIM-000055
曜日・時限：火曜3限
授業名：仮想心理演習
教員名：架空担当B
更新内容：
・課題（仮想課題-055）が追加されました。（2026/09/10 08:00）
参照：https://portal.example.invalid/demo/SIM-INCA-055</x:v>
      </x:c>
      <x:c r="M56" s="27" t="str">
        <x:v>未確認</x:v>
      </x:c>
      <x:c r="N56" s="27" t="str"/>
      <x:c r="O56" s="27" t="str"/>
      <x:c r="P56" s="27" t="str"/>
      <x:c r="Q56" s="36" t="n">
        <x:f>'テスト設定'!$B$2</x:f>
        <x:v>46298</x:v>
      </x:c>
      <x:c r="R56" s="36" t="n">
        <x:f>'テスト設定'!$B$2</x:f>
        <x:v>46298</x:v>
      </x:c>
      <x:c r="S56" s="36" t="n">
        <x:f>IF(F56="","",IF(ISNUMBER(F56),F56+'テスト設定'!$B$6,F56))</x:f>
        <x:v>46292.62430555555</x:v>
      </x:c>
      <x:c r="T56" s="36" t="n">
        <x:f>IF(S56="","",S56)</x:f>
        <x:v>46292.62430555555</x:v>
      </x:c>
    </x:row>
    <x:row r="57" ht="34" customHeight="1">
      <x:c r="A57" s="27" t="n">
        <x:v>46274.041666666664</x:v>
      </x:c>
      <x:c r="B57" s="27" t="str">
        <x:v>SIM-INCA-056</x:v>
      </x:c>
      <x:c r="C57" s="27" t="str">
        <x:v>inCampus</x:v>
      </x:c>
      <x:c r="D57" s="27" t="str">
        <x:v>サンプル情報設計</x:v>
      </x:c>
      <x:c r="E57" s="27" t="str">
        <x:v>仮想課題-056</x:v>
      </x:c>
      <x:c r="F57" s="27" t="n">
        <x:v>46270.62430555555</x:v>
      </x:c>
      <x:c r="G57" s="27" t="str">
        <x:v>期限検出</x:v>
      </x:c>
      <x:c r="H57" s="27" t="str">
        <x:v>新しい課題: 仮想課題-056</x:v>
      </x:c>
      <x:c r="I57" s="27" t="str">
        <x:v>架空担当C &lt;fixture-056@example.invalid&gt;</x:v>
      </x:c>
      <x:c r="J57" s="27" t="n">
        <x:v>46274</x:v>
      </x:c>
      <x:c r="K57" s="27" t="str">
        <x:v>https://mail.example.invalid/thread/SIM-INCA-056</x:v>
      </x:c>
      <x:c r="L57" s="28" t="str">
        <x:v>履修者：SIM-000056
曜日・時限：金曜2限
授業名：サンプル情報設計
教員名：架空担当C
更新内容：
・課題（仮想課題-056）が追加されました。（2026/09/10 08:00）
参照：https://portal.example.invalid/demo/SIM-INCA-056</x:v>
      </x:c>
      <x:c r="M57" s="27" t="str">
        <x:v>未確認</x:v>
      </x:c>
      <x:c r="N57" s="27" t="str"/>
      <x:c r="O57" s="27" t="str"/>
      <x:c r="P57" s="27" t="str"/>
      <x:c r="Q57" s="36" t="n">
        <x:f>'テスト設定'!$B$2</x:f>
        <x:v>46298</x:v>
      </x:c>
      <x:c r="R57" s="36" t="n">
        <x:f>'テスト設定'!$B$2</x:f>
        <x:v>46298</x:v>
      </x:c>
      <x:c r="S57" s="36" t="n">
        <x:f>IF(F57="","",IF(ISNUMBER(F57),F57+'テスト設定'!$B$6,F57))</x:f>
        <x:v>46293.62430555555</x:v>
      </x:c>
      <x:c r="T57" s="36" t="n">
        <x:f>IF(S57="","",S57)</x:f>
        <x:v>46293.62430555555</x:v>
      </x:c>
    </x:row>
    <x:row r="58" ht="34" customHeight="1">
      <x:c r="A58" s="27" t="n">
        <x:v>46274.083333333336</x:v>
      </x:c>
      <x:c r="B58" s="27" t="str">
        <x:v>SIM-INCA-057</x:v>
      </x:c>
      <x:c r="C58" s="27" t="str">
        <x:v>inCampus</x:v>
      </x:c>
      <x:c r="D58" s="27" t="str">
        <x:v>架空データ解析</x:v>
      </x:c>
      <x:c r="E58" s="27" t="str">
        <x:v>仮想課題-057</x:v>
      </x:c>
      <x:c r="F58" s="27" t="n">
        <x:v>46271.62430555555</x:v>
      </x:c>
      <x:c r="G58" s="27" t="str">
        <x:v>期限検出</x:v>
      </x:c>
      <x:c r="H58" s="27" t="str">
        <x:v>新しい課題: 仮想課題-057</x:v>
      </x:c>
      <x:c r="I58" s="27" t="str">
        <x:v>架空担当A &lt;fixture-057@example.invalid&gt;</x:v>
      </x:c>
      <x:c r="J58" s="27" t="n">
        <x:v>46274.041666666664</x:v>
      </x:c>
      <x:c r="K58" s="27" t="str">
        <x:v>https://mail.example.invalid/thread/SIM-INCA-057</x:v>
      </x:c>
      <x:c r="L58" s="28" t="str">
        <x:v>履修者：SIM-000057
曜日・時限：月曜1限
授業名：架空データ解析
教員名：架空担当A
更新内容：
・課題（仮想課題-057）が追加されました。（2026/09/10 08:00）
参照：https://portal.example.invalid/demo/SIM-INCA-057</x:v>
      </x:c>
      <x:c r="M58" s="27" t="str">
        <x:v>未確認</x:v>
      </x:c>
      <x:c r="N58" s="27" t="str"/>
      <x:c r="O58" s="27" t="str"/>
      <x:c r="P58" s="27" t="str"/>
      <x:c r="Q58" s="36" t="n">
        <x:f>'テスト設定'!$B$2</x:f>
        <x:v>46298</x:v>
      </x:c>
      <x:c r="R58" s="36" t="n">
        <x:f>'テスト設定'!$B$2</x:f>
        <x:v>46298</x:v>
      </x:c>
      <x:c r="S58" s="36" t="n">
        <x:f>IF(F58="","",IF(ISNUMBER(F58),F58+'テスト設定'!$B$6,F58))</x:f>
        <x:v>46294.62430555555</x:v>
      </x:c>
      <x:c r="T58" s="36" t="n">
        <x:f>IF(S58="","",S58)</x:f>
        <x:v>46294.62430555555</x:v>
      </x:c>
    </x:row>
    <x:row r="59" ht="34" customHeight="1">
      <x:c r="A59" s="27" t="n">
        <x:v>46274.125</x:v>
      </x:c>
      <x:c r="B59" s="27" t="str">
        <x:v>SIM-INCA-058</x:v>
      </x:c>
      <x:c r="C59" s="27" t="str">
        <x:v>inCampus</x:v>
      </x:c>
      <x:c r="D59" s="27" t="str">
        <x:v>仮想心理演習</x:v>
      </x:c>
      <x:c r="E59" s="27" t="str">
        <x:v>仮想課題-058</x:v>
      </x:c>
      <x:c r="F59" s="27" t="n">
        <x:v>46272.62430555555</x:v>
      </x:c>
      <x:c r="G59" s="27" t="str">
        <x:v>期限検出</x:v>
      </x:c>
      <x:c r="H59" s="27" t="str">
        <x:v>新しい課題: 仮想課題-058</x:v>
      </x:c>
      <x:c r="I59" s="27" t="str">
        <x:v>架空担当B &lt;fixture-058@example.invalid&gt;</x:v>
      </x:c>
      <x:c r="J59" s="27" t="n">
        <x:v>46274.083333333336</x:v>
      </x:c>
      <x:c r="K59" s="27" t="str">
        <x:v>https://mail.example.invalid/thread/SIM-INCA-058</x:v>
      </x:c>
      <x:c r="L59" s="28" t="str">
        <x:v>履修者：SIM-000058
曜日・時限：火曜3限
授業名：仮想心理演習
教員名：架空担当B
更新内容：
・課題（仮想課題-058）が追加されました。（2026/09/10 08:00）
参照：https://portal.example.invalid/demo/SIM-INCA-058</x:v>
      </x:c>
      <x:c r="M59" s="27" t="str">
        <x:v>未確認</x:v>
      </x:c>
      <x:c r="N59" s="27" t="str"/>
      <x:c r="O59" s="27" t="str"/>
      <x:c r="P59" s="27" t="str"/>
      <x:c r="Q59" s="36" t="n">
        <x:f>'テスト設定'!$B$2</x:f>
        <x:v>46298</x:v>
      </x:c>
      <x:c r="R59" s="36" t="n">
        <x:f>'テスト設定'!$B$2</x:f>
        <x:v>46298</x:v>
      </x:c>
      <x:c r="S59" s="36" t="n">
        <x:f>IF(F59="","",IF(ISNUMBER(F59),F59+'テスト設定'!$B$6,F59))</x:f>
        <x:v>46295.62430555555</x:v>
      </x:c>
      <x:c r="T59" s="36" t="n">
        <x:f>IF(S59="","",S59)</x:f>
        <x:v>46295.62430555555</x:v>
      </x:c>
    </x:row>
    <x:row r="60" ht="34" customHeight="1">
      <x:c r="A60" s="27" t="n">
        <x:v>46274.166666666664</x:v>
      </x:c>
      <x:c r="B60" s="27" t="str">
        <x:v>SIM-INCA-059</x:v>
      </x:c>
      <x:c r="C60" s="27" t="str">
        <x:v>inCampus</x:v>
      </x:c>
      <x:c r="D60" s="27" t="str">
        <x:v>サンプル情報設計</x:v>
      </x:c>
      <x:c r="E60" s="27" t="str">
        <x:v>仮想課題-059</x:v>
      </x:c>
      <x:c r="F60" s="27" t="n">
        <x:v>46273.62430555555</x:v>
      </x:c>
      <x:c r="G60" s="27" t="str">
        <x:v>期限検出</x:v>
      </x:c>
      <x:c r="H60" s="27" t="str">
        <x:v>新しい課題: 仮想課題-059</x:v>
      </x:c>
      <x:c r="I60" s="27" t="str">
        <x:v>架空担当C &lt;fixture-059@example.invalid&gt;</x:v>
      </x:c>
      <x:c r="J60" s="27" t="n">
        <x:v>46274.125</x:v>
      </x:c>
      <x:c r="K60" s="27" t="str">
        <x:v>https://mail.example.invalid/thread/SIM-INCA-059</x:v>
      </x:c>
      <x:c r="L60" s="28" t="str">
        <x:v>履修者：SIM-000059
曜日・時限：金曜2限
授業名：サンプル情報設計
教員名：架空担当C
更新内容：
・課題（仮想課題-059）が追加されました。（2026/09/10 08:00）
参照：https://portal.example.invalid/demo/SIM-INCA-059</x:v>
      </x:c>
      <x:c r="M60" s="27" t="str">
        <x:v>未確認</x:v>
      </x:c>
      <x:c r="N60" s="27" t="str"/>
      <x:c r="O60" s="27" t="str"/>
      <x:c r="P60" s="27" t="str"/>
      <x:c r="Q60" s="36" t="n">
        <x:f>'テスト設定'!$B$2</x:f>
        <x:v>46298</x:v>
      </x:c>
      <x:c r="R60" s="36" t="n">
        <x:f>'テスト設定'!$B$2</x:f>
        <x:v>46298</x:v>
      </x:c>
      <x:c r="S60" s="36" t="n">
        <x:f>IF(F60="","",IF(ISNUMBER(F60),F60+'テスト設定'!$B$6,F60))</x:f>
        <x:v>46296.62430555555</x:v>
      </x:c>
      <x:c r="T60" s="36" t="n">
        <x:f>IF(S60="","",S60)</x:f>
        <x:v>46296.62430555555</x:v>
      </x:c>
    </x:row>
    <x:row r="61" ht="34" customHeight="1">
      <x:c r="A61" s="27" t="n">
        <x:v>46274.208333333336</x:v>
      </x:c>
      <x:c r="B61" s="27" t="str">
        <x:v>SIM-INCA-060</x:v>
      </x:c>
      <x:c r="C61" s="27" t="str">
        <x:v>inCampus</x:v>
      </x:c>
      <x:c r="D61" s="27" t="str">
        <x:v>架空データ解析</x:v>
      </x:c>
      <x:c r="E61" s="27" t="str">
        <x:v>仮想課題-060</x:v>
      </x:c>
      <x:c r="F61" s="27" t="n">
        <x:v>46274.62430555555</x:v>
      </x:c>
      <x:c r="G61" s="27" t="str">
        <x:v>期限検出</x:v>
      </x:c>
      <x:c r="H61" s="27" t="str">
        <x:v>新しい課題: 仮想課題-060</x:v>
      </x:c>
      <x:c r="I61" s="27" t="str">
        <x:v>架空担当A &lt;fixture-060@example.invalid&gt;</x:v>
      </x:c>
      <x:c r="J61" s="27" t="n">
        <x:v>46274.166666666664</x:v>
      </x:c>
      <x:c r="K61" s="27" t="str">
        <x:v>https://mail.example.invalid/thread/SIM-INCA-060</x:v>
      </x:c>
      <x:c r="L61" s="28" t="str">
        <x:v>履修者：SIM-000060
曜日・時限：月曜1限
授業名：架空データ解析
教員名：架空担当A
更新内容：
・課題（仮想課題-060）が追加されました。（2026/09/10 08:00）
参照：https://portal.example.invalid/demo/SIM-INCA-060</x:v>
      </x:c>
      <x:c r="M61" s="27" t="str">
        <x:v>未確認</x:v>
      </x:c>
      <x:c r="N61" s="27" t="str"/>
      <x:c r="O61" s="27" t="str"/>
      <x:c r="P61" s="27" t="str"/>
      <x:c r="Q61" s="36" t="n">
        <x:f>'テスト設定'!$B$2</x:f>
        <x:v>46298</x:v>
      </x:c>
      <x:c r="R61" s="36" t="n">
        <x:f>'テスト設定'!$B$2</x:f>
        <x:v>46298</x:v>
      </x:c>
      <x:c r="S61" s="36" t="n">
        <x:f>IF(F61="","",IF(ISNUMBER(F61),F61+'テスト設定'!$B$6,F61))</x:f>
        <x:v>46297.62430555555</x:v>
      </x:c>
      <x:c r="T61" s="36" t="n">
        <x:f>IF(S61="","",S61)</x:f>
        <x:v>46297.62430555555</x:v>
      </x:c>
    </x:row>
    <x:row r="62" ht="34" customHeight="1">
      <x:c r="A62" s="27" t="n">
        <x:v>46274.25</x:v>
      </x:c>
      <x:c r="B62" s="27" t="str">
        <x:v>SIM-INCA-061</x:v>
      </x:c>
      <x:c r="C62" s="27" t="str">
        <x:v>inCampus</x:v>
      </x:c>
      <x:c r="D62" s="27" t="str">
        <x:v>仮想心理演習</x:v>
      </x:c>
      <x:c r="E62" s="27" t="str">
        <x:v>仮想課題-061</x:v>
      </x:c>
      <x:c r="F62" s="27" t="n">
        <x:v>46275.62430555555</x:v>
      </x:c>
      <x:c r="G62" s="27" t="str">
        <x:v>期限検出</x:v>
      </x:c>
      <x:c r="H62" s="27" t="str">
        <x:v>新しい課題: 仮想課題-061</x:v>
      </x:c>
      <x:c r="I62" s="27" t="str">
        <x:v>架空担当B &lt;fixture-061@example.invalid&gt;</x:v>
      </x:c>
      <x:c r="J62" s="27" t="n">
        <x:v>46274.208333333336</x:v>
      </x:c>
      <x:c r="K62" s="27" t="str">
        <x:v>https://mail.example.invalid/thread/SIM-INCA-061</x:v>
      </x:c>
      <x:c r="L62" s="28" t="str">
        <x:v>履修者：SIM-000061
曜日・時限：火曜3限
授業名：仮想心理演習
教員名：架空担当B
更新内容：
・課題（仮想課題-061）が追加されました。（2026/09/10 08:00）
参照：https://portal.example.invalid/demo/SIM-INCA-061</x:v>
      </x:c>
      <x:c r="M62" s="27" t="str">
        <x:v>未確認</x:v>
      </x:c>
      <x:c r="N62" s="27" t="str"/>
      <x:c r="O62" s="27" t="str"/>
      <x:c r="P62" s="27" t="str"/>
      <x:c r="Q62" s="36" t="n">
        <x:f>'テスト設定'!$B$2</x:f>
        <x:v>46298</x:v>
      </x:c>
      <x:c r="R62" s="36" t="n">
        <x:f>'テスト設定'!$B$2</x:f>
        <x:v>46298</x:v>
      </x:c>
      <x:c r="S62" s="36" t="n">
        <x:f>IF(F62="","",IF(ISNUMBER(F62),F62+'テスト設定'!$B$6,F62))</x:f>
        <x:v>46298.62430555555</x:v>
      </x:c>
      <x:c r="T62" s="36" t="n">
        <x:f>IF(S62="","",S62)</x:f>
        <x:v>46298.62430555555</x:v>
      </x:c>
    </x:row>
    <x:row r="63" ht="34" customHeight="1">
      <x:c r="A63" s="27" t="n">
        <x:v>46274.291666666664</x:v>
      </x:c>
      <x:c r="B63" s="27" t="str">
        <x:v>SIM-INCA-062</x:v>
      </x:c>
      <x:c r="C63" s="27" t="str">
        <x:v>inCampus</x:v>
      </x:c>
      <x:c r="D63" s="27" t="str">
        <x:v>サンプル情報設計</x:v>
      </x:c>
      <x:c r="E63" s="27" t="str">
        <x:v>仮想課題-062</x:v>
      </x:c>
      <x:c r="F63" s="27" t="n">
        <x:v>46276.62430555555</x:v>
      </x:c>
      <x:c r="G63" s="27" t="str">
        <x:v>期限検出</x:v>
      </x:c>
      <x:c r="H63" s="27" t="str">
        <x:v>新しい課題: 仮想課題-062</x:v>
      </x:c>
      <x:c r="I63" s="27" t="str">
        <x:v>架空担当C &lt;fixture-062@example.invalid&gt;</x:v>
      </x:c>
      <x:c r="J63" s="27" t="n">
        <x:v>46274.25</x:v>
      </x:c>
      <x:c r="K63" s="27" t="str">
        <x:v>https://mail.example.invalid/thread/SIM-INCA-062</x:v>
      </x:c>
      <x:c r="L63" s="28" t="str">
        <x:v>履修者：SIM-000062
曜日・時限：金曜2限
授業名：サンプル情報設計
教員名：架空担当C
更新内容：
・課題（仮想課題-062）が追加されました。（2026/09/10 08:00）
参照：https://portal.example.invalid/demo/SIM-INCA-062</x:v>
      </x:c>
      <x:c r="M63" s="27" t="str">
        <x:v>未確認</x:v>
      </x:c>
      <x:c r="N63" s="27" t="str"/>
      <x:c r="O63" s="27" t="str"/>
      <x:c r="P63" s="27" t="str"/>
      <x:c r="Q63" s="36" t="n">
        <x:f>'テスト設定'!$B$2</x:f>
        <x:v>46298</x:v>
      </x:c>
      <x:c r="R63" s="36" t="n">
        <x:f>'テスト設定'!$B$2</x:f>
        <x:v>46298</x:v>
      </x:c>
      <x:c r="S63" s="36" t="n">
        <x:f>IF(F63="","",IF(ISNUMBER(F63),F63+'テスト設定'!$B$6,F63))</x:f>
        <x:v>46299.62430555555</x:v>
      </x:c>
      <x:c r="T63" s="36" t="n">
        <x:f>IF(S63="","",S63)</x:f>
        <x:v>46299.62430555555</x:v>
      </x:c>
    </x:row>
    <x:row r="64" ht="34" customHeight="1">
      <x:c r="A64" s="27" t="n">
        <x:v>46273.958333333336</x:v>
      </x:c>
      <x:c r="B64" s="27" t="str">
        <x:v>SIM-INCA-063</x:v>
      </x:c>
      <x:c r="C64" s="27" t="str">
        <x:v>inCampus</x:v>
      </x:c>
      <x:c r="D64" s="27" t="str">
        <x:v>架空データ解析</x:v>
      </x:c>
      <x:c r="E64" s="27" t="str">
        <x:v>仮想課題-063</x:v>
      </x:c>
      <x:c r="F64" s="27" t="n">
        <x:v>46277.62430555555</x:v>
      </x:c>
      <x:c r="G64" s="27" t="str">
        <x:v>期限検出</x:v>
      </x:c>
      <x:c r="H64" s="27" t="str">
        <x:v>新しい課題: 仮想課題-063</x:v>
      </x:c>
      <x:c r="I64" s="27" t="str">
        <x:v>架空担当A &lt;fixture-063@example.invalid&gt;</x:v>
      </x:c>
      <x:c r="J64" s="27" t="n">
        <x:v>46274.291666666664</x:v>
      </x:c>
      <x:c r="K64" s="27" t="str">
        <x:v>https://mail.example.invalid/thread/SIM-INCA-063</x:v>
      </x:c>
      <x:c r="L64" s="28" t="str">
        <x:v>履修者：SIM-000063
曜日・時限：月曜1限
授業名：架空データ解析
教員名：架空担当A
更新内容：
・課題（仮想課題-063）が追加されました。（2026/09/10 08:00）
参照：https://portal.example.invalid/demo/SIM-INCA-063</x:v>
      </x:c>
      <x:c r="M64" s="27" t="str">
        <x:v>未確認</x:v>
      </x:c>
      <x:c r="N64" s="27" t="str"/>
      <x:c r="O64" s="27" t="str"/>
      <x:c r="P64" s="27" t="str"/>
      <x:c r="Q64" s="36" t="n">
        <x:f>'テスト設定'!$B$2</x:f>
        <x:v>46298</x:v>
      </x:c>
      <x:c r="R64" s="36" t="n">
        <x:f>'テスト設定'!$B$2</x:f>
        <x:v>46298</x:v>
      </x:c>
      <x:c r="S64" s="36" t="n">
        <x:f>IF(F64="","",IF(ISNUMBER(F64),F64+'テスト設定'!$B$6,F64))</x:f>
        <x:v>46300.62430555555</x:v>
      </x:c>
      <x:c r="T64" s="36" t="n">
        <x:f>IF(S64="","",S64)</x:f>
        <x:v>46300.62430555555</x:v>
      </x:c>
    </x:row>
    <x:row r="65" ht="34" customHeight="1">
      <x:c r="A65" s="27" t="n">
        <x:v>46274</x:v>
      </x:c>
      <x:c r="B65" s="27" t="str">
        <x:v>SIM-INCA-064</x:v>
      </x:c>
      <x:c r="C65" s="27" t="str">
        <x:v>inCampus</x:v>
      </x:c>
      <x:c r="D65" s="27" t="str">
        <x:v>仮想心理演習</x:v>
      </x:c>
      <x:c r="E65" s="27" t="str">
        <x:v>仮想課題-064</x:v>
      </x:c>
      <x:c r="F65" s="27" t="n">
        <x:v>46278.62430555555</x:v>
      </x:c>
      <x:c r="G65" s="27" t="str">
        <x:v>期限検出</x:v>
      </x:c>
      <x:c r="H65" s="27" t="str">
        <x:v>新しい課題: 仮想課題-064</x:v>
      </x:c>
      <x:c r="I65" s="27" t="str">
        <x:v>架空担当B &lt;fixture-064@example.invalid&gt;</x:v>
      </x:c>
      <x:c r="J65" s="27" t="n">
        <x:v>46274</x:v>
      </x:c>
      <x:c r="K65" s="27" t="str">
        <x:v>https://mail.example.invalid/thread/SIM-INCA-064</x:v>
      </x:c>
      <x:c r="L65" s="28" t="str">
        <x:v>履修者：SIM-000064
曜日・時限：火曜3限
授業名：仮想心理演習
教員名：架空担当B
更新内容：
・課題（仮想課題-064）が追加されました。（2026/09/10 08:00）
参照：https://portal.example.invalid/demo/SIM-INCA-064</x:v>
      </x:c>
      <x:c r="M65" s="27" t="str">
        <x:v>未確認</x:v>
      </x:c>
      <x:c r="N65" s="27" t="str"/>
      <x:c r="O65" s="27" t="str"/>
      <x:c r="P65" s="27" t="str"/>
      <x:c r="Q65" s="36" t="n">
        <x:f>'テスト設定'!$B$2</x:f>
        <x:v>46298</x:v>
      </x:c>
      <x:c r="R65" s="36" t="n">
        <x:f>'テスト設定'!$B$2</x:f>
        <x:v>46298</x:v>
      </x:c>
      <x:c r="S65" s="36" t="n">
        <x:f>IF(F65="","",IF(ISNUMBER(F65),F65+'テスト設定'!$B$6,F65))</x:f>
        <x:v>46301.62430555555</x:v>
      </x:c>
      <x:c r="T65" s="36" t="n">
        <x:f>IF(S65="","",S65)</x:f>
        <x:v>46301.62430555555</x:v>
      </x:c>
    </x:row>
    <x:row r="66" ht="34" customHeight="1">
      <x:c r="A66" s="27" t="n">
        <x:v>46274.041666666664</x:v>
      </x:c>
      <x:c r="B66" s="27" t="str">
        <x:v>SIM-INCA-065</x:v>
      </x:c>
      <x:c r="C66" s="27" t="str">
        <x:v>inCampus</x:v>
      </x:c>
      <x:c r="D66" s="27" t="str">
        <x:v>サンプル情報設計</x:v>
      </x:c>
      <x:c r="E66" s="27" t="str">
        <x:v>仮想お知らせ-065</x:v>
      </x:c>
      <x:c r="F66" s="27" t="str"/>
      <x:c r="G66" s="27" t="str">
        <x:v>期限未検出・要確認</x:v>
      </x:c>
      <x:c r="H66" s="27" t="str">
        <x:v>新しいお知らせ: 仮想お知らせ-065</x:v>
      </x:c>
      <x:c r="I66" s="27" t="str">
        <x:v>架空担当C &lt;fixture-065@example.invalid&gt;</x:v>
      </x:c>
      <x:c r="J66" s="27" t="n">
        <x:v>46274.041666666664</x:v>
      </x:c>
      <x:c r="K66" s="27" t="str">
        <x:v>https://mail.example.invalid/thread/SIM-INCA-065</x:v>
      </x:c>
      <x:c r="L66" s="28" t="str">
        <x:v>履修者：SIM-000065
曜日・時限：金曜2限
授業名：サンプル情報設計
教員名：架空担当C
更新内容：
・お知らせ（仮想お知らせ-065）が追加されました。（2026/09/10 08:00）
参照：https://portal.example.invalid/demo/SIM-INCA-065</x:v>
      </x:c>
      <x:c r="M66" s="27" t="str">
        <x:v>未確認</x:v>
      </x:c>
      <x:c r="N66" s="27" t="str"/>
      <x:c r="O66" s="27" t="str"/>
      <x:c r="P66" s="27" t="str"/>
      <x:c r="Q66" s="36" t="n">
        <x:f>'テスト設定'!$B$2</x:f>
        <x:v>46298</x:v>
      </x:c>
      <x:c r="R66" s="36" t="n">
        <x:f>'テスト設定'!$B$2</x:f>
        <x:v>46298</x:v>
      </x:c>
      <x:c r="S66" s="36" t="str">
        <x:f>IF(F66="","",IF(ISNUMBER(F66),F66+'テスト設定'!$B$6,F66))</x:f>
      </x:c>
      <x:c r="T66" s="36" t="str">
        <x:f>IF(S66="","",S66)</x:f>
      </x:c>
    </x:row>
    <x:row r="67" ht="34" customHeight="1">
      <x:c r="A67" s="27" t="n">
        <x:v>46274.083333333336</x:v>
      </x:c>
      <x:c r="B67" s="27" t="str">
        <x:v>SIM-INCA-066</x:v>
      </x:c>
      <x:c r="C67" s="27" t="str">
        <x:v>inCampus</x:v>
      </x:c>
      <x:c r="D67" s="27" t="str">
        <x:v>架空データ解析</x:v>
      </x:c>
      <x:c r="E67" s="27" t="str">
        <x:v>仮想課題-066</x:v>
      </x:c>
      <x:c r="F67" s="27" t="n">
        <x:v>46280.62430555555</x:v>
      </x:c>
      <x:c r="G67" s="27" t="str">
        <x:v>期限検出</x:v>
      </x:c>
      <x:c r="H67" s="27" t="str">
        <x:v>新しい課題: 仮想課題-066</x:v>
      </x:c>
      <x:c r="I67" s="27" t="str">
        <x:v>架空担当A &lt;fixture-066@example.invalid&gt;</x:v>
      </x:c>
      <x:c r="J67" s="27" t="n">
        <x:v>46274.083333333336</x:v>
      </x:c>
      <x:c r="K67" s="27" t="str">
        <x:v>https://mail.example.invalid/thread/SIM-INCA-066</x:v>
      </x:c>
      <x:c r="L67" s="28" t="str">
        <x:v>履修者：SIM-000066
曜日・時限：月曜1限
授業名：架空データ解析
教員名：架空担当A
更新内容：
・課題（仮想課題-066）が追加されました。（2026/09/10 08:00）
参照：https://portal.example.invalid/demo/SIM-INCA-066</x:v>
      </x:c>
      <x:c r="M67" s="27" t="str">
        <x:v>未確認</x:v>
      </x:c>
      <x:c r="N67" s="27" t="str"/>
      <x:c r="O67" s="27" t="str"/>
      <x:c r="P67" s="27" t="str"/>
      <x:c r="Q67" s="36" t="n">
        <x:f>'テスト設定'!$B$2</x:f>
        <x:v>46298</x:v>
      </x:c>
      <x:c r="R67" s="36" t="n">
        <x:f>'テスト設定'!$B$2</x:f>
        <x:v>46298</x:v>
      </x:c>
      <x:c r="S67" s="36" t="n">
        <x:f>IF(F67="","",IF(ISNUMBER(F67),F67+'テスト設定'!$B$6,F67))</x:f>
        <x:v>46303.62430555555</x:v>
      </x:c>
      <x:c r="T67" s="36" t="n">
        <x:f>IF(S67="","",S67)</x:f>
        <x:v>46303.62430555555</x:v>
      </x:c>
    </x:row>
    <x:row r="68" ht="34" customHeight="1">
      <x:c r="A68" s="27" t="n">
        <x:v>46274.125</x:v>
      </x:c>
      <x:c r="B68" s="27" t="str">
        <x:v>SIM-INCA-067</x:v>
      </x:c>
      <x:c r="C68" s="27" t="str">
        <x:v>inCampus</x:v>
      </x:c>
      <x:c r="D68" s="27" t="str">
        <x:v>仮想心理演習</x:v>
      </x:c>
      <x:c r="E68" s="27" t="str">
        <x:v>仮想課題-067</x:v>
      </x:c>
      <x:c r="F68" s="27" t="n">
        <x:v>46281.62430555555</x:v>
      </x:c>
      <x:c r="G68" s="27" t="str">
        <x:v>期限検出</x:v>
      </x:c>
      <x:c r="H68" s="27" t="str">
        <x:v>新しい課題: 仮想課題-067</x:v>
      </x:c>
      <x:c r="I68" s="27" t="str">
        <x:v>架空担当B &lt;fixture-067@example.invalid&gt;</x:v>
      </x:c>
      <x:c r="J68" s="27" t="n">
        <x:v>46274.125</x:v>
      </x:c>
      <x:c r="K68" s="27" t="str">
        <x:v>https://mail.example.invalid/thread/SIM-INCA-067</x:v>
      </x:c>
      <x:c r="L68" s="28" t="str">
        <x:v>履修者：SIM-000067
曜日・時限：火曜3限
授業名：仮想心理演習
教員名：架空担当B
更新内容：
・課題（仮想課題-067）が追加されました。（2026/09/10 08:00）
参照：https://portal.example.invalid/demo/SIM-INCA-067</x:v>
      </x:c>
      <x:c r="M68" s="27" t="str">
        <x:v>未確認</x:v>
      </x:c>
      <x:c r="N68" s="27" t="str"/>
      <x:c r="O68" s="27" t="str"/>
      <x:c r="P68" s="27" t="str"/>
      <x:c r="Q68" s="36" t="n">
        <x:f>'テスト設定'!$B$2</x:f>
        <x:v>46298</x:v>
      </x:c>
      <x:c r="R68" s="36" t="n">
        <x:f>'テスト設定'!$B$2</x:f>
        <x:v>46298</x:v>
      </x:c>
      <x:c r="S68" s="36" t="n">
        <x:f>IF(F68="","",IF(ISNUMBER(F68),F68+'テスト設定'!$B$6,F68))</x:f>
        <x:v>46304.62430555555</x:v>
      </x:c>
      <x:c r="T68" s="36" t="n">
        <x:f>IF(S68="","",S68)</x:f>
        <x:v>46304.62430555555</x:v>
      </x:c>
    </x:row>
    <x:row r="69" ht="34" customHeight="1">
      <x:c r="A69" s="27" t="n">
        <x:v>46274.166666666664</x:v>
      </x:c>
      <x:c r="B69" s="27" t="str">
        <x:v>SIM-INCA-068</x:v>
      </x:c>
      <x:c r="C69" s="27" t="str">
        <x:v>inCampus</x:v>
      </x:c>
      <x:c r="D69" s="27" t="str">
        <x:v>サンプル情報設計</x:v>
      </x:c>
      <x:c r="E69" s="27" t="str">
        <x:v>仮想課題-068</x:v>
      </x:c>
      <x:c r="F69" s="27" t="n">
        <x:v>46282.62430555555</x:v>
      </x:c>
      <x:c r="G69" s="27" t="str">
        <x:v>期限検出</x:v>
      </x:c>
      <x:c r="H69" s="27" t="str">
        <x:v>新しい課題: 仮想課題-068</x:v>
      </x:c>
      <x:c r="I69" s="27" t="str">
        <x:v>架空担当C &lt;fixture-068@example.invalid&gt;</x:v>
      </x:c>
      <x:c r="J69" s="27" t="n">
        <x:v>46274.166666666664</x:v>
      </x:c>
      <x:c r="K69" s="27" t="str">
        <x:v>https://mail.example.invalid/thread/SIM-INCA-068</x:v>
      </x:c>
      <x:c r="L69" s="28" t="str">
        <x:v>履修者：SIM-000068
曜日・時限：金曜2限
授業名：サンプル情報設計
教員名：架空担当C
更新内容：
・課題（仮想課題-068）が追加されました。（2026/09/10 08:00）
参照：https://portal.example.invalid/demo/SIM-INCA-068</x:v>
      </x:c>
      <x:c r="M69" s="27" t="str">
        <x:v>未確認</x:v>
      </x:c>
      <x:c r="N69" s="27" t="str"/>
      <x:c r="O69" s="27" t="str"/>
      <x:c r="P69" s="27" t="str"/>
      <x:c r="Q69" s="36" t="n">
        <x:f>'テスト設定'!$B$2</x:f>
        <x:v>46298</x:v>
      </x:c>
      <x:c r="R69" s="36" t="n">
        <x:f>'テスト設定'!$B$2</x:f>
        <x:v>46298</x:v>
      </x:c>
      <x:c r="S69" s="36" t="n">
        <x:f>IF(F69="","",IF(ISNUMBER(F69),F69+'テスト設定'!$B$6,F69))</x:f>
        <x:v>46305.62430555555</x:v>
      </x:c>
      <x:c r="T69" s="36" t="n">
        <x:f>IF(S69="","",S69)</x:f>
        <x:v>46305.62430555555</x:v>
      </x:c>
    </x:row>
    <x:row r="70" ht="34" customHeight="1">
      <x:c r="A70" s="27" t="n">
        <x:v>46274.208333333336</x:v>
      </x:c>
      <x:c r="B70" s="27" t="str">
        <x:v>SIM-INCA-069</x:v>
      </x:c>
      <x:c r="C70" s="27" t="str">
        <x:v>inCampus</x:v>
      </x:c>
      <x:c r="D70" s="27" t="str">
        <x:v>架空データ解析</x:v>
      </x:c>
      <x:c r="E70" s="27" t="str">
        <x:v>仮想課題-069</x:v>
      </x:c>
      <x:c r="F70" s="27" t="n">
        <x:v>46283.62430555555</x:v>
      </x:c>
      <x:c r="G70" s="27" t="str">
        <x:v>期限検出</x:v>
      </x:c>
      <x:c r="H70" s="27" t="str">
        <x:v>新しい課題: 仮想課題-069</x:v>
      </x:c>
      <x:c r="I70" s="27" t="str">
        <x:v>架空担当A &lt;fixture-069@example.invalid&gt;</x:v>
      </x:c>
      <x:c r="J70" s="27" t="n">
        <x:v>46274.208333333336</x:v>
      </x:c>
      <x:c r="K70" s="27" t="str">
        <x:v>https://mail.example.invalid/thread/SIM-INCA-069</x:v>
      </x:c>
      <x:c r="L70" s="28" t="str">
        <x:v>履修者：SIM-000069
曜日・時限：月曜1限
授業名：架空データ解析
教員名：架空担当A
更新内容：
・課題（仮想課題-069）が追加されました。（2026/09/10 08:00）
参照：https://portal.example.invalid/demo/SIM-INCA-069</x:v>
      </x:c>
      <x:c r="M70" s="27" t="str">
        <x:v>未確認</x:v>
      </x:c>
      <x:c r="N70" s="27" t="str"/>
      <x:c r="O70" s="27" t="str"/>
      <x:c r="P70" s="27" t="str"/>
      <x:c r="Q70" s="36" t="n">
        <x:f>'テスト設定'!$B$2</x:f>
        <x:v>46298</x:v>
      </x:c>
      <x:c r="R70" s="36" t="n">
        <x:f>'テスト設定'!$B$2</x:f>
        <x:v>46298</x:v>
      </x:c>
      <x:c r="S70" s="36" t="n">
        <x:f>IF(F70="","",IF(ISNUMBER(F70),F70+'テスト設定'!$B$6,F70))</x:f>
        <x:v>46306.62430555555</x:v>
      </x:c>
      <x:c r="T70" s="36" t="n">
        <x:f>IF(S70="","",S70)</x:f>
        <x:v>46306.62430555555</x:v>
      </x:c>
    </x:row>
    <x:row r="71" ht="34" customHeight="1">
      <x:c r="A71" s="27" t="n">
        <x:v>46274.25</x:v>
      </x:c>
      <x:c r="B71" s="27" t="str">
        <x:v>SIM-INCA-070</x:v>
      </x:c>
      <x:c r="C71" s="27" t="str">
        <x:v>inCampus</x:v>
      </x:c>
      <x:c r="D71" s="27" t="str">
        <x:v>仮想心理演習</x:v>
      </x:c>
      <x:c r="E71" s="27" t="str">
        <x:v>仮想課題-070</x:v>
      </x:c>
      <x:c r="F71" s="27" t="n">
        <x:v>46284.62430555555</x:v>
      </x:c>
      <x:c r="G71" s="27" t="str">
        <x:v>期限検出</x:v>
      </x:c>
      <x:c r="H71" s="27" t="str">
        <x:v>新しい課題: 仮想課題-070</x:v>
      </x:c>
      <x:c r="I71" s="27" t="str">
        <x:v>架空担当B &lt;fixture-070@example.invalid&gt;</x:v>
      </x:c>
      <x:c r="J71" s="27" t="n">
        <x:v>46274.25</x:v>
      </x:c>
      <x:c r="K71" s="27" t="str">
        <x:v>https://mail.example.invalid/thread/SIM-INCA-070</x:v>
      </x:c>
      <x:c r="L71" s="28" t="str">
        <x:v>履修者：SIM-000070
曜日・時限：火曜3限
授業名：仮想心理演習
教員名：架空担当B
更新内容：
・課題（仮想課題-070）が追加されました。（2026/09/10 08:00）
参照：https://portal.example.invalid/demo/SIM-INCA-070</x:v>
      </x:c>
      <x:c r="M71" s="27" t="str">
        <x:v>未確認</x:v>
      </x:c>
      <x:c r="N71" s="27" t="str"/>
      <x:c r="O71" s="27" t="str"/>
      <x:c r="P71" s="27" t="str"/>
      <x:c r="Q71" s="36" t="n">
        <x:f>'テスト設定'!$B$2</x:f>
        <x:v>46298</x:v>
      </x:c>
      <x:c r="R71" s="36" t="n">
        <x:f>'テスト設定'!$B$2</x:f>
        <x:v>46298</x:v>
      </x:c>
      <x:c r="S71" s="36" t="n">
        <x:f>IF(F71="","",IF(ISNUMBER(F71),F71+'テスト設定'!$B$6,F71))</x:f>
        <x:v>46307.62430555555</x:v>
      </x:c>
      <x:c r="T71" s="36" t="n">
        <x:f>IF(S71="","",S71)</x:f>
        <x:v>46307.62430555555</x:v>
      </x:c>
    </x:row>
    <x:row r="72" ht="34" customHeight="1">
      <x:c r="A72" s="27" t="n">
        <x:v>46274.291666666664</x:v>
      </x:c>
      <x:c r="B72" s="27" t="str">
        <x:v>SIM-INCA-071</x:v>
      </x:c>
      <x:c r="C72" s="27" t="str">
        <x:v>inCampus</x:v>
      </x:c>
      <x:c r="D72" s="27" t="str">
        <x:v>サンプル情報設計</x:v>
      </x:c>
      <x:c r="E72" s="27" t="str">
        <x:v>仮想課題-071</x:v>
      </x:c>
      <x:c r="F72" s="27" t="n">
        <x:v>46285.62430555555</x:v>
      </x:c>
      <x:c r="G72" s="27" t="str">
        <x:v>期限検出</x:v>
      </x:c>
      <x:c r="H72" s="27" t="str">
        <x:v>新しい課題: 仮想課題-071</x:v>
      </x:c>
      <x:c r="I72" s="27" t="str">
        <x:v>架空担当C &lt;fixture-071@example.invalid&gt;</x:v>
      </x:c>
      <x:c r="J72" s="27" t="n">
        <x:v>46274.291666666664</x:v>
      </x:c>
      <x:c r="K72" s="27" t="str">
        <x:v>https://mail.example.invalid/thread/SIM-INCA-071</x:v>
      </x:c>
      <x:c r="L72" s="28" t="str">
        <x:v>履修者：SIM-000071
曜日・時限：金曜2限
授業名：サンプル情報設計
教員名：架空担当C
更新内容：
・課題（仮想課題-071）が追加されました。（2026/09/10 08:00）
参照：https://portal.example.invalid/demo/SIM-INCA-071</x:v>
      </x:c>
      <x:c r="M72" s="27" t="str">
        <x:v>未確認</x:v>
      </x:c>
      <x:c r="N72" s="27" t="str"/>
      <x:c r="O72" s="27" t="str"/>
      <x:c r="P72" s="27" t="str"/>
      <x:c r="Q72" s="36" t="n">
        <x:f>'テスト設定'!$B$2</x:f>
        <x:v>46298</x:v>
      </x:c>
      <x:c r="R72" s="36" t="n">
        <x:f>'テスト設定'!$B$2</x:f>
        <x:v>46298</x:v>
      </x:c>
      <x:c r="S72" s="36" t="n">
        <x:f>IF(F72="","",IF(ISNUMBER(F72),F72+'テスト設定'!$B$6,F72))</x:f>
        <x:v>46308.62430555555</x:v>
      </x:c>
      <x:c r="T72" s="36" t="n">
        <x:f>IF(S72="","",S72)</x:f>
        <x:v>46308.62430555555</x:v>
      </x:c>
    </x:row>
    <x:row r="73" ht="34" customHeight="1">
      <x:c r="A73" s="27" t="n">
        <x:v>46273.958333333336</x:v>
      </x:c>
      <x:c r="B73" s="27" t="str">
        <x:v>SIM-INCA-072</x:v>
      </x:c>
      <x:c r="C73" s="27" t="str">
        <x:v>inCampus</x:v>
      </x:c>
      <x:c r="D73" s="27" t="str">
        <x:v>架空データ解析</x:v>
      </x:c>
      <x:c r="E73" s="27" t="str">
        <x:v>仮想課題-072</x:v>
      </x:c>
      <x:c r="F73" s="27" t="n">
        <x:v>46268.62430555555</x:v>
      </x:c>
      <x:c r="G73" s="27" t="str">
        <x:v>期限検出</x:v>
      </x:c>
      <x:c r="H73" s="27" t="str">
        <x:v>新しい課題: 仮想課題-072</x:v>
      </x:c>
      <x:c r="I73" s="27" t="str">
        <x:v>架空担当A &lt;fixture-072@example.invalid&gt;</x:v>
      </x:c>
      <x:c r="J73" s="27" t="n">
        <x:v>46274</x:v>
      </x:c>
      <x:c r="K73" s="27" t="str">
        <x:v>https://mail.example.invalid/thread/SIM-INCA-072</x:v>
      </x:c>
      <x:c r="L73" s="28" t="str">
        <x:v>履修者：SIM-000072
曜日・時限：月曜1限
授業名：架空データ解析
教員名：架空担当A
更新内容：
・課題（仮想課題-072）が追加されました。（2026/09/10 08:00）
参照：https://portal.example.invalid/demo/SIM-INCA-072</x:v>
      </x:c>
      <x:c r="M73" s="27" t="str">
        <x:v>未確認</x:v>
      </x:c>
      <x:c r="N73" s="27" t="str"/>
      <x:c r="O73" s="27" t="str"/>
      <x:c r="P73" s="27" t="str"/>
      <x:c r="Q73" s="36" t="n">
        <x:f>'テスト設定'!$B$2</x:f>
        <x:v>46298</x:v>
      </x:c>
      <x:c r="R73" s="36" t="n">
        <x:f>'テスト設定'!$B$2</x:f>
        <x:v>46298</x:v>
      </x:c>
      <x:c r="S73" s="36" t="n">
        <x:f>IF(F73="","",IF(ISNUMBER(F73),F73+'テスト設定'!$B$6,F73))</x:f>
        <x:v>46291.62430555555</x:v>
      </x:c>
      <x:c r="T73" s="36" t="n">
        <x:f>IF(S73="","",S73)</x:f>
        <x:v>46291.62430555555</x:v>
      </x:c>
    </x:row>
    <x:row r="74" ht="34" customHeight="1">
      <x:c r="A74" s="27" t="n">
        <x:v>46274</x:v>
      </x:c>
      <x:c r="B74" s="27" t="str">
        <x:v>SIM-INCA-073</x:v>
      </x:c>
      <x:c r="C74" s="27" t="str">
        <x:v>inCampus</x:v>
      </x:c>
      <x:c r="D74" s="27" t="str">
        <x:v>仮想心理演習</x:v>
      </x:c>
      <x:c r="E74" s="27" t="str">
        <x:v>仮想課題-073</x:v>
      </x:c>
      <x:c r="F74" s="27" t="n">
        <x:v>46269.62430555555</x:v>
      </x:c>
      <x:c r="G74" s="27" t="str">
        <x:v>期限検出</x:v>
      </x:c>
      <x:c r="H74" s="27" t="str">
        <x:v>新しい課題: 仮想課題-073</x:v>
      </x:c>
      <x:c r="I74" s="27" t="str">
        <x:v>架空担当B &lt;fixture-073@example.invalid&gt;</x:v>
      </x:c>
      <x:c r="J74" s="27" t="n">
        <x:v>46274.041666666664</x:v>
      </x:c>
      <x:c r="K74" s="27" t="str">
        <x:v>https://mail.example.invalid/thread/SIM-INCA-073</x:v>
      </x:c>
      <x:c r="L74" s="28" t="str">
        <x:v>履修者：SIM-000073
曜日・時限：火曜3限
授業名：仮想心理演習
教員名：架空担当B
更新内容：
・課題（仮想課題-073）が追加されました。（2026/09/10 08:00）
参照：https://portal.example.invalid/demo/SIM-INCA-073</x:v>
      </x:c>
      <x:c r="M74" s="27" t="str">
        <x:v>未確認</x:v>
      </x:c>
      <x:c r="N74" s="27" t="str"/>
      <x:c r="O74" s="27" t="str"/>
      <x:c r="P74" s="27" t="str"/>
      <x:c r="Q74" s="36" t="n">
        <x:f>'テスト設定'!$B$2</x:f>
        <x:v>46298</x:v>
      </x:c>
      <x:c r="R74" s="36" t="n">
        <x:f>'テスト設定'!$B$2</x:f>
        <x:v>46298</x:v>
      </x:c>
      <x:c r="S74" s="36" t="n">
        <x:f>IF(F74="","",IF(ISNUMBER(F74),F74+'テスト設定'!$B$6,F74))</x:f>
        <x:v>46292.62430555555</x:v>
      </x:c>
      <x:c r="T74" s="36" t="n">
        <x:f>IF(S74="","",S74)</x:f>
        <x:v>46292.62430555555</x:v>
      </x:c>
    </x:row>
    <x:row r="75" ht="34" customHeight="1">
      <x:c r="A75" s="27" t="n">
        <x:v>46274.041666666664</x:v>
      </x:c>
      <x:c r="B75" s="27" t="str">
        <x:v>SIM-INCA-074</x:v>
      </x:c>
      <x:c r="C75" s="27" t="str">
        <x:v>inCampus</x:v>
      </x:c>
      <x:c r="D75" s="27" t="str">
        <x:v>サンプル情報設計</x:v>
      </x:c>
      <x:c r="E75" s="27" t="str">
        <x:v>仮想課題-074</x:v>
      </x:c>
      <x:c r="F75" s="27" t="n">
        <x:v>46270.62430555555</x:v>
      </x:c>
      <x:c r="G75" s="27" t="str">
        <x:v>期限検出</x:v>
      </x:c>
      <x:c r="H75" s="27" t="str">
        <x:v>新しい課題: 仮想課題-074</x:v>
      </x:c>
      <x:c r="I75" s="27" t="str">
        <x:v>架空担当C &lt;fixture-074@example.invalid&gt;</x:v>
      </x:c>
      <x:c r="J75" s="27" t="n">
        <x:v>46274.083333333336</x:v>
      </x:c>
      <x:c r="K75" s="27" t="str">
        <x:v>https://mail.example.invalid/thread/SIM-INCA-074</x:v>
      </x:c>
      <x:c r="L75" s="28" t="str">
        <x:v>履修者：SIM-000074
曜日・時限：金曜2限
授業名：サンプル情報設計
教員名：架空担当C
更新内容：
・課題（仮想課題-074）が追加されました。（2026/09/10 08:00）
参照：https://portal.example.invalid/demo/SIM-INCA-074</x:v>
      </x:c>
      <x:c r="M75" s="27" t="str">
        <x:v>未確認</x:v>
      </x:c>
      <x:c r="N75" s="27" t="str"/>
      <x:c r="O75" s="27" t="str"/>
      <x:c r="P75" s="27" t="str"/>
      <x:c r="Q75" s="36" t="n">
        <x:f>'テスト設定'!$B$2</x:f>
        <x:v>46298</x:v>
      </x:c>
      <x:c r="R75" s="36" t="n">
        <x:f>'テスト設定'!$B$2</x:f>
        <x:v>46298</x:v>
      </x:c>
      <x:c r="S75" s="36" t="n">
        <x:f>IF(F75="","",IF(ISNUMBER(F75),F75+'テスト設定'!$B$6,F75))</x:f>
        <x:v>46293.62430555555</x:v>
      </x:c>
      <x:c r="T75" s="36" t="n">
        <x:f>IF(S75="","",S75)</x:f>
        <x:v>46293.62430555555</x:v>
      </x:c>
    </x:row>
    <x:row r="76" ht="34" customHeight="1">
      <x:c r="A76" s="27" t="n">
        <x:v>46274.083333333336</x:v>
      </x:c>
      <x:c r="B76" s="27" t="str">
        <x:v>SIM-INCA-075</x:v>
      </x:c>
      <x:c r="C76" s="27" t="str">
        <x:v>inCampus</x:v>
      </x:c>
      <x:c r="D76" s="27" t="str">
        <x:v>架空データ解析</x:v>
      </x:c>
      <x:c r="E76" s="27" t="str">
        <x:v>仮想課題-075</x:v>
      </x:c>
      <x:c r="F76" s="27" t="n">
        <x:v>46271.62430555555</x:v>
      </x:c>
      <x:c r="G76" s="27" t="str">
        <x:v>期限検出</x:v>
      </x:c>
      <x:c r="H76" s="27" t="str">
        <x:v>新しい課題: 仮想課題-075</x:v>
      </x:c>
      <x:c r="I76" s="27" t="str">
        <x:v>架空担当A &lt;fixture-075@example.invalid&gt;</x:v>
      </x:c>
      <x:c r="J76" s="27" t="n">
        <x:v>46274.125</x:v>
      </x:c>
      <x:c r="K76" s="27" t="str">
        <x:v>https://mail.example.invalid/thread/SIM-INCA-075</x:v>
      </x:c>
      <x:c r="L76" s="28" t="str">
        <x:v>履修者：SIM-000075
曜日・時限：月曜1限
授業名：架空データ解析
教員名：架空担当A
更新内容：
・課題（仮想課題-075）が追加されました。（2026/09/10 08:00）
参照：https://portal.example.invalid/demo/SIM-INCA-075</x:v>
      </x:c>
      <x:c r="M76" s="27" t="str">
        <x:v>未確認</x:v>
      </x:c>
      <x:c r="N76" s="27" t="str"/>
      <x:c r="O76" s="27" t="str"/>
      <x:c r="P76" s="27" t="str"/>
      <x:c r="Q76" s="36" t="n">
        <x:f>'テスト設定'!$B$2</x:f>
        <x:v>46298</x:v>
      </x:c>
      <x:c r="R76" s="36" t="n">
        <x:f>'テスト設定'!$B$2</x:f>
        <x:v>46298</x:v>
      </x:c>
      <x:c r="S76" s="36" t="n">
        <x:f>IF(F76="","",IF(ISNUMBER(F76),F76+'テスト設定'!$B$6,F76))</x:f>
        <x:v>46294.62430555555</x:v>
      </x:c>
      <x:c r="T76" s="36" t="n">
        <x:f>IF(S76="","",S76)</x:f>
        <x:v>46294.62430555555</x:v>
      </x:c>
    </x:row>
    <x:row r="77" ht="34" customHeight="1">
      <x:c r="A77" s="27" t="n">
        <x:v>46274.125</x:v>
      </x:c>
      <x:c r="B77" s="27" t="str">
        <x:v>SIM-INCA-076</x:v>
      </x:c>
      <x:c r="C77" s="27" t="str">
        <x:v>inCampus</x:v>
      </x:c>
      <x:c r="D77" s="27" t="str">
        <x:v>仮想心理演習</x:v>
      </x:c>
      <x:c r="E77" s="27" t="str">
        <x:v>仮想課題-076</x:v>
      </x:c>
      <x:c r="F77" s="27" t="n">
        <x:v>46272.62430555555</x:v>
      </x:c>
      <x:c r="G77" s="27" t="str">
        <x:v>期限検出</x:v>
      </x:c>
      <x:c r="H77" s="27" t="str">
        <x:v>新しい課題: 仮想課題-076</x:v>
      </x:c>
      <x:c r="I77" s="27" t="str">
        <x:v>架空担当B &lt;fixture-076@example.invalid&gt;</x:v>
      </x:c>
      <x:c r="J77" s="27" t="n">
        <x:v>46274.166666666664</x:v>
      </x:c>
      <x:c r="K77" s="27" t="str">
        <x:v>https://mail.example.invalid/thread/SIM-INCA-076</x:v>
      </x:c>
      <x:c r="L77" s="28" t="str">
        <x:v>履修者：SIM-000076
曜日・時限：火曜3限
授業名：仮想心理演習
教員名：架空担当B
更新内容：
・課題（仮想課題-076）が追加されました。（2026/09/10 08:00）
参照：https://portal.example.invalid/demo/SIM-INCA-076</x:v>
      </x:c>
      <x:c r="M77" s="27" t="str">
        <x:v>未確認</x:v>
      </x:c>
      <x:c r="N77" s="27" t="str"/>
      <x:c r="O77" s="27" t="str"/>
      <x:c r="P77" s="27" t="str"/>
      <x:c r="Q77" s="36" t="n">
        <x:f>'テスト設定'!$B$2</x:f>
        <x:v>46298</x:v>
      </x:c>
      <x:c r="R77" s="36" t="n">
        <x:f>'テスト設定'!$B$2</x:f>
        <x:v>46298</x:v>
      </x:c>
      <x:c r="S77" s="36" t="n">
        <x:f>IF(F77="","",IF(ISNUMBER(F77),F77+'テスト設定'!$B$6,F77))</x:f>
        <x:v>46295.62430555555</x:v>
      </x:c>
      <x:c r="T77" s="36" t="n">
        <x:f>IF(S77="","",S77)</x:f>
        <x:v>46295.62430555555</x:v>
      </x:c>
    </x:row>
    <x:row r="78" ht="34" customHeight="1">
      <x:c r="A78" s="27" t="n">
        <x:v>46274.166666666664</x:v>
      </x:c>
      <x:c r="B78" s="27" t="str">
        <x:v>SIM-INCA-077</x:v>
      </x:c>
      <x:c r="C78" s="27" t="str">
        <x:v>inCampus</x:v>
      </x:c>
      <x:c r="D78" s="27" t="str">
        <x:v>サンプル情報設計</x:v>
      </x:c>
      <x:c r="E78" s="27" t="str">
        <x:v>仮想課題-077</x:v>
      </x:c>
      <x:c r="F78" s="27" t="n">
        <x:v>46273.62430555555</x:v>
      </x:c>
      <x:c r="G78" s="27" t="str">
        <x:v>期限検出</x:v>
      </x:c>
      <x:c r="H78" s="27" t="str">
        <x:v>新しい課題: 仮想課題-077</x:v>
      </x:c>
      <x:c r="I78" s="27" t="str">
        <x:v>架空担当C &lt;fixture-077@example.invalid&gt;</x:v>
      </x:c>
      <x:c r="J78" s="27" t="n">
        <x:v>46274.208333333336</x:v>
      </x:c>
      <x:c r="K78" s="27" t="str">
        <x:v>https://mail.example.invalid/thread/SIM-INCA-077</x:v>
      </x:c>
      <x:c r="L78" s="28" t="str">
        <x:v>履修者：SIM-000077
曜日・時限：金曜2限
授業名：サンプル情報設計
教員名：架空担当C
更新内容：
・課題（仮想課題-077）が追加されました。（2026/09/10 08:00）
参照：https://portal.example.invalid/demo/SIM-INCA-077</x:v>
      </x:c>
      <x:c r="M78" s="27" t="str">
        <x:v>未確認</x:v>
      </x:c>
      <x:c r="N78" s="27" t="str"/>
      <x:c r="O78" s="27" t="str"/>
      <x:c r="P78" s="27" t="str"/>
      <x:c r="Q78" s="36" t="n">
        <x:f>'テスト設定'!$B$2</x:f>
        <x:v>46298</x:v>
      </x:c>
      <x:c r="R78" s="36" t="n">
        <x:f>'テスト設定'!$B$2</x:f>
        <x:v>46298</x:v>
      </x:c>
      <x:c r="S78" s="36" t="n">
        <x:f>IF(F78="","",IF(ISNUMBER(F78),F78+'テスト設定'!$B$6,F78))</x:f>
        <x:v>46296.62430555555</x:v>
      </x:c>
      <x:c r="T78" s="36" t="n">
        <x:f>IF(S78="","",S78)</x:f>
        <x:v>46296.62430555555</x:v>
      </x:c>
    </x:row>
    <x:row r="79" ht="34" customHeight="1">
      <x:c r="A79" s="27" t="n">
        <x:v>46274.208333333336</x:v>
      </x:c>
      <x:c r="B79" s="27" t="str">
        <x:v>SIM-INCA-078</x:v>
      </x:c>
      <x:c r="C79" s="27" t="str">
        <x:v>inCampus</x:v>
      </x:c>
      <x:c r="D79" s="27" t="str">
        <x:v>架空データ解析</x:v>
      </x:c>
      <x:c r="E79" s="27" t="str">
        <x:v>仮想お知らせ-078</x:v>
      </x:c>
      <x:c r="F79" s="27" t="str"/>
      <x:c r="G79" s="27" t="str">
        <x:v>期限未検出・要確認</x:v>
      </x:c>
      <x:c r="H79" s="27" t="str">
        <x:v>新しいお知らせ: 仮想お知らせ-078</x:v>
      </x:c>
      <x:c r="I79" s="27" t="str">
        <x:v>架空担当A &lt;fixture-078@example.invalid&gt;</x:v>
      </x:c>
      <x:c r="J79" s="27" t="n">
        <x:v>46274.25</x:v>
      </x:c>
      <x:c r="K79" s="27" t="str">
        <x:v>https://mail.example.invalid/thread/SIM-INCA-078</x:v>
      </x:c>
      <x:c r="L79" s="28" t="str">
        <x:v>履修者：SIM-000078
曜日・時限：月曜1限
授業名：架空データ解析
教員名：架空担当A
更新内容：
・お知らせ（仮想お知らせ-078）が追加されました。（2026/09/10 08:00）
参照：https://portal.example.invalid/demo/SIM-INCA-078</x:v>
      </x:c>
      <x:c r="M79" s="27" t="str">
        <x:v>未確認</x:v>
      </x:c>
      <x:c r="N79" s="27" t="str"/>
      <x:c r="O79" s="27" t="str"/>
      <x:c r="P79" s="27" t="str"/>
      <x:c r="Q79" s="36" t="n">
        <x:f>'テスト設定'!$B$2</x:f>
        <x:v>46298</x:v>
      </x:c>
      <x:c r="R79" s="36" t="n">
        <x:f>'テスト設定'!$B$2</x:f>
        <x:v>46298</x:v>
      </x:c>
      <x:c r="S79" s="36" t="str">
        <x:f>IF(F79="","",IF(ISNUMBER(F79),F79+'テスト設定'!$B$6,F79))</x:f>
      </x:c>
      <x:c r="T79" s="36" t="str">
        <x:f>IF(S79="","",S79)</x:f>
      </x:c>
    </x:row>
    <x:row r="80" ht="34" customHeight="1">
      <x:c r="A80" s="27" t="n">
        <x:v>46274.25</x:v>
      </x:c>
      <x:c r="B80" s="27" t="str">
        <x:v>SIM-INCA-079</x:v>
      </x:c>
      <x:c r="C80" s="27" t="str">
        <x:v>inCampus</x:v>
      </x:c>
      <x:c r="D80" s="27" t="str">
        <x:v>仮想心理演習</x:v>
      </x:c>
      <x:c r="E80" s="27" t="str">
        <x:v>仮想課題-079</x:v>
      </x:c>
      <x:c r="F80" s="27" t="n">
        <x:v>46275.62430555555</x:v>
      </x:c>
      <x:c r="G80" s="27" t="str">
        <x:v>期限検出</x:v>
      </x:c>
      <x:c r="H80" s="27" t="str">
        <x:v>新しい課題: 仮想課題-079</x:v>
      </x:c>
      <x:c r="I80" s="27" t="str">
        <x:v>架空担当B &lt;fixture-079@example.invalid&gt;</x:v>
      </x:c>
      <x:c r="J80" s="27" t="n">
        <x:v>46274.291666666664</x:v>
      </x:c>
      <x:c r="K80" s="27" t="str">
        <x:v>https://mail.example.invalid/thread/SIM-INCA-079</x:v>
      </x:c>
      <x:c r="L80" s="28" t="str">
        <x:v>履修者：SIM-000079
曜日・時限：火曜3限
授業名：仮想心理演習
教員名：架空担当B
更新内容：
・課題（仮想課題-079）が追加されました。（2026/09/10 08:00）
参照：https://portal.example.invalid/demo/SIM-INCA-079</x:v>
      </x:c>
      <x:c r="M80" s="27" t="str">
        <x:v>未確認</x:v>
      </x:c>
      <x:c r="N80" s="27" t="str"/>
      <x:c r="O80" s="27" t="str"/>
      <x:c r="P80" s="27" t="str"/>
      <x:c r="Q80" s="36" t="n">
        <x:f>'テスト設定'!$B$2</x:f>
        <x:v>46298</x:v>
      </x:c>
      <x:c r="R80" s="36" t="n">
        <x:f>'テスト設定'!$B$2</x:f>
        <x:v>46298</x:v>
      </x:c>
      <x:c r="S80" s="36" t="n">
        <x:f>IF(F80="","",IF(ISNUMBER(F80),F80+'テスト設定'!$B$6,F80))</x:f>
        <x:v>46298.62430555555</x:v>
      </x:c>
      <x:c r="T80" s="36" t="n">
        <x:f>IF(S80="","",S80)</x:f>
        <x:v>46298.62430555555</x:v>
      </x:c>
    </x:row>
    <x:row r="81" ht="34" customHeight="1">
      <x:c r="A81" s="27" t="n">
        <x:v>46274.291666666664</x:v>
      </x:c>
      <x:c r="B81" s="27" t="str">
        <x:v>SIM-INCA-080</x:v>
      </x:c>
      <x:c r="C81" s="27" t="str">
        <x:v>inCampus</x:v>
      </x:c>
      <x:c r="D81" s="27" t="str">
        <x:v>サンプル情報設計</x:v>
      </x:c>
      <x:c r="E81" s="27" t="str">
        <x:v>仮想課題-080</x:v>
      </x:c>
      <x:c r="F81" s="27" t="n">
        <x:v>46276.62430555555</x:v>
      </x:c>
      <x:c r="G81" s="27" t="str">
        <x:v>期限検出</x:v>
      </x:c>
      <x:c r="H81" s="27" t="str">
        <x:v>新しい課題: 仮想課題-080</x:v>
      </x:c>
      <x:c r="I81" s="27" t="str">
        <x:v>架空担当C &lt;fixture-080@example.invalid&gt;</x:v>
      </x:c>
      <x:c r="J81" s="27" t="n">
        <x:v>46274</x:v>
      </x:c>
      <x:c r="K81" s="27" t="str">
        <x:v>https://mail.example.invalid/thread/SIM-INCA-080</x:v>
      </x:c>
      <x:c r="L81" s="28" t="str">
        <x:v>履修者：SIM-000080
曜日・時限：金曜2限
授業名：サンプル情報設計
教員名：架空担当C
更新内容：
・課題（仮想課題-080）が追加されました。（2026/09/10 08:00）
参照：https://portal.example.invalid/demo/SIM-INCA-080</x:v>
      </x:c>
      <x:c r="M81" s="27" t="str">
        <x:v>未確認</x:v>
      </x:c>
      <x:c r="N81" s="27" t="str"/>
      <x:c r="O81" s="27" t="str"/>
      <x:c r="P81" s="27" t="str"/>
      <x:c r="Q81" s="36" t="n">
        <x:f>'テスト設定'!$B$2</x:f>
        <x:v>46298</x:v>
      </x:c>
      <x:c r="R81" s="36" t="n">
        <x:f>'テスト設定'!$B$2</x:f>
        <x:v>46298</x:v>
      </x:c>
      <x:c r="S81" s="36" t="n">
        <x:f>IF(F81="","",IF(ISNUMBER(F81),F81+'テスト設定'!$B$6,F81))</x:f>
        <x:v>46299.62430555555</x:v>
      </x:c>
      <x:c r="T81" s="36" t="n">
        <x:f>IF(S81="","",S81)</x:f>
        <x:v>46299.62430555555</x:v>
      </x:c>
    </x:row>
    <x:row r="82" ht="34" customHeight="1">
      <x:c r="A82" s="27" t="n">
        <x:v>46273.958333333336</x:v>
      </x:c>
      <x:c r="B82" s="27" t="str">
        <x:v>SIM-INCA-081</x:v>
      </x:c>
      <x:c r="C82" s="27" t="str">
        <x:v>inCampus</x:v>
      </x:c>
      <x:c r="D82" s="27" t="str">
        <x:v>架空データ解析</x:v>
      </x:c>
      <x:c r="E82" s="27" t="str">
        <x:v>仮想課題-081</x:v>
      </x:c>
      <x:c r="F82" s="27" t="n">
        <x:v>46277.62430555555</x:v>
      </x:c>
      <x:c r="G82" s="27" t="str">
        <x:v>期限検出</x:v>
      </x:c>
      <x:c r="H82" s="27" t="str">
        <x:v>新しい課題: 仮想課題-081</x:v>
      </x:c>
      <x:c r="I82" s="27" t="str">
        <x:v>架空担当A &lt;fixture-081@example.invalid&gt;</x:v>
      </x:c>
      <x:c r="J82" s="27" t="n">
        <x:v>46274.041666666664</x:v>
      </x:c>
      <x:c r="K82" s="27" t="str">
        <x:v>https://mail.example.invalid/thread/SIM-INCA-081</x:v>
      </x:c>
      <x:c r="L82" s="28" t="str">
        <x:v>履修者：SIM-000081
曜日・時限：月曜1限
授業名：架空データ解析
教員名：架空担当A
更新内容：
・課題（仮想課題-081）が追加されました。（2026/09/10 08:00）
参照：https://portal.example.invalid/demo/SIM-INCA-081</x:v>
      </x:c>
      <x:c r="M82" s="27" t="str">
        <x:v>未確認</x:v>
      </x:c>
      <x:c r="N82" s="27" t="str"/>
      <x:c r="O82" s="27" t="str"/>
      <x:c r="P82" s="27" t="str"/>
      <x:c r="Q82" s="36" t="n">
        <x:f>'テスト設定'!$B$2</x:f>
        <x:v>46298</x:v>
      </x:c>
      <x:c r="R82" s="36" t="n">
        <x:f>'テスト設定'!$B$2</x:f>
        <x:v>46298</x:v>
      </x:c>
      <x:c r="S82" s="36" t="n">
        <x:f>IF(F82="","",IF(ISNUMBER(F82),F82+'テスト設定'!$B$6,F82))</x:f>
        <x:v>46300.62430555555</x:v>
      </x:c>
      <x:c r="T82" s="36" t="n">
        <x:f>IF(S82="","",S82)</x:f>
        <x:v>46300.62430555555</x:v>
      </x:c>
    </x:row>
    <x:row r="83" ht="34" customHeight="1">
      <x:c r="A83" s="27" t="n">
        <x:v>46274</x:v>
      </x:c>
      <x:c r="B83" s="27" t="str">
        <x:v>SIM-INCA-082</x:v>
      </x:c>
      <x:c r="C83" s="27" t="str">
        <x:v>inCampus</x:v>
      </x:c>
      <x:c r="D83" s="27" t="str">
        <x:v>仮想心理演習</x:v>
      </x:c>
      <x:c r="E83" s="27" t="str">
        <x:v>仮想課題-082</x:v>
      </x:c>
      <x:c r="F83" s="27" t="n">
        <x:v>46278.62430555555</x:v>
      </x:c>
      <x:c r="G83" s="27" t="str">
        <x:v>期限検出</x:v>
      </x:c>
      <x:c r="H83" s="27" t="str">
        <x:v>新しい課題: 仮想課題-082</x:v>
      </x:c>
      <x:c r="I83" s="27" t="str">
        <x:v>架空担当B &lt;fixture-082@example.invalid&gt;</x:v>
      </x:c>
      <x:c r="J83" s="27" t="n">
        <x:v>46274.083333333336</x:v>
      </x:c>
      <x:c r="K83" s="27" t="str">
        <x:v>https://mail.example.invalid/thread/SIM-INCA-082</x:v>
      </x:c>
      <x:c r="L83" s="28" t="str">
        <x:v>履修者：SIM-000082
曜日・時限：火曜3限
授業名：仮想心理演習
教員名：架空担当B
更新内容：
・課題（仮想課題-082）が追加されました。（2026/09/10 08:00）
参照：https://portal.example.invalid/demo/SIM-INCA-082</x:v>
      </x:c>
      <x:c r="M83" s="27" t="str">
        <x:v>未確認</x:v>
      </x:c>
      <x:c r="N83" s="27" t="str"/>
      <x:c r="O83" s="27" t="str"/>
      <x:c r="P83" s="27" t="str"/>
      <x:c r="Q83" s="36" t="n">
        <x:f>'テスト設定'!$B$2</x:f>
        <x:v>46298</x:v>
      </x:c>
      <x:c r="R83" s="36" t="n">
        <x:f>'テスト設定'!$B$2</x:f>
        <x:v>46298</x:v>
      </x:c>
      <x:c r="S83" s="36" t="n">
        <x:f>IF(F83="","",IF(ISNUMBER(F83),F83+'テスト設定'!$B$6,F83))</x:f>
        <x:v>46301.62430555555</x:v>
      </x:c>
      <x:c r="T83" s="36" t="n">
        <x:f>IF(S83="","",S83)</x:f>
        <x:v>46301.62430555555</x:v>
      </x:c>
    </x:row>
    <x:row r="84" ht="34" customHeight="1">
      <x:c r="A84" s="27" t="n">
        <x:v>46274.041666666664</x:v>
      </x:c>
      <x:c r="B84" s="27" t="str">
        <x:v>SIM-INCA-083</x:v>
      </x:c>
      <x:c r="C84" s="27" t="str">
        <x:v>inCampus</x:v>
      </x:c>
      <x:c r="D84" s="27" t="str">
        <x:v>サンプル情報設計</x:v>
      </x:c>
      <x:c r="E84" s="27" t="str">
        <x:v>仮想課題-083</x:v>
      </x:c>
      <x:c r="F84" s="27" t="n">
        <x:v>46279.62430555555</x:v>
      </x:c>
      <x:c r="G84" s="27" t="str">
        <x:v>期限検出</x:v>
      </x:c>
      <x:c r="H84" s="27" t="str">
        <x:v>新しい課題: 仮想課題-083</x:v>
      </x:c>
      <x:c r="I84" s="27" t="str">
        <x:v>架空担当C &lt;fixture-083@example.invalid&gt;</x:v>
      </x:c>
      <x:c r="J84" s="27" t="n">
        <x:v>46274.125</x:v>
      </x:c>
      <x:c r="K84" s="27" t="str">
        <x:v>https://mail.example.invalid/thread/SIM-INCA-083</x:v>
      </x:c>
      <x:c r="L84" s="28" t="str">
        <x:v>履修者：SIM-000083
曜日・時限：金曜2限
授業名：サンプル情報設計
教員名：架空担当C
更新内容：
・課題（仮想課題-083）が追加されました。（2026/09/10 08:00）
参照：https://portal.example.invalid/demo/SIM-INCA-083</x:v>
      </x:c>
      <x:c r="M84" s="27" t="str">
        <x:v>未確認</x:v>
      </x:c>
      <x:c r="N84" s="27" t="str"/>
      <x:c r="O84" s="27" t="str"/>
      <x:c r="P84" s="27" t="str"/>
      <x:c r="Q84" s="36" t="n">
        <x:f>'テスト設定'!$B$2</x:f>
        <x:v>46298</x:v>
      </x:c>
      <x:c r="R84" s="36" t="n">
        <x:f>'テスト設定'!$B$2</x:f>
        <x:v>46298</x:v>
      </x:c>
      <x:c r="S84" s="36" t="n">
        <x:f>IF(F84="","",IF(ISNUMBER(F84),F84+'テスト設定'!$B$6,F84))</x:f>
        <x:v>46302.62430555555</x:v>
      </x:c>
      <x:c r="T84" s="36" t="n">
        <x:f>IF(S84="","",S84)</x:f>
        <x:v>46302.62430555555</x:v>
      </x:c>
    </x:row>
    <x:row r="85" ht="34" customHeight="1">
      <x:c r="A85" s="27" t="n">
        <x:v>46274.083333333336</x:v>
      </x:c>
      <x:c r="B85" s="27" t="str">
        <x:v>SIM-INCA-084</x:v>
      </x:c>
      <x:c r="C85" s="27" t="str">
        <x:v>inCampus</x:v>
      </x:c>
      <x:c r="D85" s="27" t="str">
        <x:v>架空データ解析</x:v>
      </x:c>
      <x:c r="E85" s="27" t="str">
        <x:v>仮想課題-084</x:v>
      </x:c>
      <x:c r="F85" s="27" t="n">
        <x:v>46280.62430555555</x:v>
      </x:c>
      <x:c r="G85" s="27" t="str">
        <x:v>期限検出</x:v>
      </x:c>
      <x:c r="H85" s="27" t="str">
        <x:v>新しい課題: 仮想課題-084</x:v>
      </x:c>
      <x:c r="I85" s="27" t="str">
        <x:v>架空担当A &lt;fixture-084@example.invalid&gt;</x:v>
      </x:c>
      <x:c r="J85" s="27" t="n">
        <x:v>46274.166666666664</x:v>
      </x:c>
      <x:c r="K85" s="27" t="str">
        <x:v>https://mail.example.invalid/thread/SIM-INCA-084</x:v>
      </x:c>
      <x:c r="L85" s="28" t="str">
        <x:v>履修者：SIM-000084
曜日・時限：月曜1限
授業名：架空データ解析
教員名：架空担当A
更新内容：
・課題（仮想課題-084）が追加されました。（2026/09/10 08:00）
参照：https://portal.example.invalid/demo/SIM-INCA-084</x:v>
      </x:c>
      <x:c r="M85" s="27" t="str">
        <x:v>未確認</x:v>
      </x:c>
      <x:c r="N85" s="27" t="str"/>
      <x:c r="O85" s="27" t="str"/>
      <x:c r="P85" s="27" t="str"/>
      <x:c r="Q85" s="36" t="n">
        <x:f>'テスト設定'!$B$2</x:f>
        <x:v>46298</x:v>
      </x:c>
      <x:c r="R85" s="36" t="n">
        <x:f>'テスト設定'!$B$2</x:f>
        <x:v>46298</x:v>
      </x:c>
      <x:c r="S85" s="36" t="n">
        <x:f>IF(F85="","",IF(ISNUMBER(F85),F85+'テスト設定'!$B$6,F85))</x:f>
        <x:v>46303.62430555555</x:v>
      </x:c>
      <x:c r="T85" s="36" t="n">
        <x:f>IF(S85="","",S85)</x:f>
        <x:v>46303.62430555555</x:v>
      </x:c>
    </x:row>
    <x:row r="86" ht="34" customHeight="1">
      <x:c r="A86" s="27" t="n">
        <x:v>46274.125</x:v>
      </x:c>
      <x:c r="B86" s="27" t="str">
        <x:v>SIM-INCA-085</x:v>
      </x:c>
      <x:c r="C86" s="27" t="str">
        <x:v>inCampus</x:v>
      </x:c>
      <x:c r="D86" s="27" t="str">
        <x:v>仮想心理演習</x:v>
      </x:c>
      <x:c r="E86" s="27" t="str">
        <x:v>仮想課題-085</x:v>
      </x:c>
      <x:c r="F86" s="27" t="n">
        <x:v>46281.62430555555</x:v>
      </x:c>
      <x:c r="G86" s="27" t="str">
        <x:v>期限検出</x:v>
      </x:c>
      <x:c r="H86" s="27" t="str">
        <x:v>新しい課題: 仮想課題-085</x:v>
      </x:c>
      <x:c r="I86" s="27" t="str">
        <x:v>架空担当B &lt;fixture-085@example.invalid&gt;</x:v>
      </x:c>
      <x:c r="J86" s="27" t="n">
        <x:v>46274.208333333336</x:v>
      </x:c>
      <x:c r="K86" s="27" t="str">
        <x:v>https://mail.example.invalid/thread/SIM-INCA-085</x:v>
      </x:c>
      <x:c r="L86" s="28" t="str">
        <x:v>履修者：SIM-000085
曜日・時限：火曜3限
授業名：仮想心理演習
教員名：架空担当B
更新内容：
・課題（仮想課題-085）が追加されました。（2026/09/10 08:00）
参照：https://portal.example.invalid/demo/SIM-INCA-085</x:v>
      </x:c>
      <x:c r="M86" s="27" t="str">
        <x:v>未確認</x:v>
      </x:c>
      <x:c r="N86" s="27" t="str"/>
      <x:c r="O86" s="27" t="str"/>
      <x:c r="P86" s="27" t="str"/>
      <x:c r="Q86" s="36" t="n">
        <x:f>'テスト設定'!$B$2</x:f>
        <x:v>46298</x:v>
      </x:c>
      <x:c r="R86" s="36" t="n">
        <x:f>'テスト設定'!$B$2</x:f>
        <x:v>46298</x:v>
      </x:c>
      <x:c r="S86" s="36" t="n">
        <x:f>IF(F86="","",IF(ISNUMBER(F86),F86+'テスト設定'!$B$6,F86))</x:f>
        <x:v>46304.62430555555</x:v>
      </x:c>
      <x:c r="T86" s="36" t="n">
        <x:f>IF(S86="","",S86)</x:f>
        <x:v>46304.62430555555</x:v>
      </x:c>
    </x:row>
    <x:row r="87" ht="34" customHeight="1">
      <x:c r="A87" s="27" t="n">
        <x:v>46274.166666666664</x:v>
      </x:c>
      <x:c r="B87" s="27" t="str">
        <x:v>SIM-INCA-086</x:v>
      </x:c>
      <x:c r="C87" s="27" t="str">
        <x:v>inCampus</x:v>
      </x:c>
      <x:c r="D87" s="27" t="str">
        <x:v>サンプル情報設計</x:v>
      </x:c>
      <x:c r="E87" s="27" t="str">
        <x:v>仮想課題-086</x:v>
      </x:c>
      <x:c r="F87" s="27" t="n">
        <x:v>46282.62430555555</x:v>
      </x:c>
      <x:c r="G87" s="27" t="str">
        <x:v>期限検出</x:v>
      </x:c>
      <x:c r="H87" s="27" t="str">
        <x:v>新しい課題: 仮想課題-086</x:v>
      </x:c>
      <x:c r="I87" s="27" t="str">
        <x:v>架空担当C &lt;fixture-086@example.invalid&gt;</x:v>
      </x:c>
      <x:c r="J87" s="27" t="n">
        <x:v>46274.25</x:v>
      </x:c>
      <x:c r="K87" s="27" t="str">
        <x:v>https://mail.example.invalid/thread/SIM-INCA-086</x:v>
      </x:c>
      <x:c r="L87" s="28" t="str">
        <x:v>履修者：SIM-000086
曜日・時限：金曜2限
授業名：サンプル情報設計
教員名：架空担当C
更新内容：
・課題（仮想課題-086）が追加されました。（2026/09/10 08:00）
参照：https://portal.example.invalid/demo/SIM-INCA-086</x:v>
      </x:c>
      <x:c r="M87" s="27" t="str">
        <x:v>未確認</x:v>
      </x:c>
      <x:c r="N87" s="27" t="str"/>
      <x:c r="O87" s="27" t="str"/>
      <x:c r="P87" s="27" t="str"/>
      <x:c r="Q87" s="36" t="n">
        <x:f>'テスト設定'!$B$2</x:f>
        <x:v>46298</x:v>
      </x:c>
      <x:c r="R87" s="36" t="n">
        <x:f>'テスト設定'!$B$2</x:f>
        <x:v>46298</x:v>
      </x:c>
      <x:c r="S87" s="36" t="n">
        <x:f>IF(F87="","",IF(ISNUMBER(F87),F87+'テスト設定'!$B$6,F87))</x:f>
        <x:v>46305.62430555555</x:v>
      </x:c>
      <x:c r="T87" s="36" t="n">
        <x:f>IF(S87="","",S87)</x:f>
        <x:v>46305.62430555555</x:v>
      </x:c>
    </x:row>
    <x:row r="88" ht="34" customHeight="1">
      <x:c r="A88" s="27" t="n">
        <x:v>46274.208333333336</x:v>
      </x:c>
      <x:c r="B88" s="27" t="str">
        <x:v>SIM-INCA-087</x:v>
      </x:c>
      <x:c r="C88" s="27" t="str">
        <x:v>inCampus</x:v>
      </x:c>
      <x:c r="D88" s="27" t="str">
        <x:v>架空データ解析</x:v>
      </x:c>
      <x:c r="E88" s="27" t="str">
        <x:v>仮想課題-087</x:v>
      </x:c>
      <x:c r="F88" s="27" t="n">
        <x:v>46283.62430555555</x:v>
      </x:c>
      <x:c r="G88" s="27" t="str">
        <x:v>期限検出</x:v>
      </x:c>
      <x:c r="H88" s="27" t="str">
        <x:v>新しい課題: 仮想課題-087</x:v>
      </x:c>
      <x:c r="I88" s="27" t="str">
        <x:v>架空担当A &lt;fixture-087@example.invalid&gt;</x:v>
      </x:c>
      <x:c r="J88" s="27" t="n">
        <x:v>46274.291666666664</x:v>
      </x:c>
      <x:c r="K88" s="27" t="str">
        <x:v>https://mail.example.invalid/thread/SIM-INCA-087</x:v>
      </x:c>
      <x:c r="L88" s="28" t="str">
        <x:v>履修者：SIM-000087
曜日・時限：月曜1限
授業名：架空データ解析
教員名：架空担当A
更新内容：
・課題（仮想課題-087）が追加されました。（2026/09/10 08:00）
参照：https://portal.example.invalid/demo/SIM-INCA-087</x:v>
      </x:c>
      <x:c r="M88" s="27" t="str">
        <x:v>未確認</x:v>
      </x:c>
      <x:c r="N88" s="27" t="str"/>
      <x:c r="O88" s="27" t="str"/>
      <x:c r="P88" s="27" t="str"/>
      <x:c r="Q88" s="36" t="n">
        <x:f>'テスト設定'!$B$2</x:f>
        <x:v>46298</x:v>
      </x:c>
      <x:c r="R88" s="36" t="n">
        <x:f>'テスト設定'!$B$2</x:f>
        <x:v>46298</x:v>
      </x:c>
      <x:c r="S88" s="36" t="n">
        <x:f>IF(F88="","",IF(ISNUMBER(F88),F88+'テスト設定'!$B$6,F88))</x:f>
        <x:v>46306.62430555555</x:v>
      </x:c>
      <x:c r="T88" s="36" t="n">
        <x:f>IF(S88="","",S88)</x:f>
        <x:v>46306.62430555555</x:v>
      </x:c>
    </x:row>
    <x:row r="89" ht="34" customHeight="1">
      <x:c r="A89" s="27" t="n">
        <x:v>46274.25</x:v>
      </x:c>
      <x:c r="B89" s="27" t="str">
        <x:v>SIM-INCA-088</x:v>
      </x:c>
      <x:c r="C89" s="27" t="str">
        <x:v>inCampus</x:v>
      </x:c>
      <x:c r="D89" s="27" t="str">
        <x:v>仮想心理演習</x:v>
      </x:c>
      <x:c r="E89" s="27" t="str">
        <x:v>仮想課題-088</x:v>
      </x:c>
      <x:c r="F89" s="27" t="n">
        <x:v>46284.62430555555</x:v>
      </x:c>
      <x:c r="G89" s="27" t="str">
        <x:v>期限検出</x:v>
      </x:c>
      <x:c r="H89" s="27" t="str">
        <x:v>新しい課題: 仮想課題-088</x:v>
      </x:c>
      <x:c r="I89" s="27" t="str">
        <x:v>架空担当B &lt;fixture-088@example.invalid&gt;</x:v>
      </x:c>
      <x:c r="J89" s="27" t="n">
        <x:v>46274</x:v>
      </x:c>
      <x:c r="K89" s="27" t="str">
        <x:v>https://mail.example.invalid/thread/SIM-INCA-088</x:v>
      </x:c>
      <x:c r="L89" s="28" t="str">
        <x:v>履修者：SIM-000088
曜日・時限：火曜3限
授業名：仮想心理演習
教員名：架空担当B
更新内容：
・課題（仮想課題-088）が追加されました。（2026/09/10 08:00）
参照：https://portal.example.invalid/demo/SIM-INCA-088</x:v>
      </x:c>
      <x:c r="M89" s="27" t="str">
        <x:v>未確認</x:v>
      </x:c>
      <x:c r="N89" s="27" t="str"/>
      <x:c r="O89" s="27" t="str"/>
      <x:c r="P89" s="27" t="str"/>
      <x:c r="Q89" s="36" t="n">
        <x:f>'テスト設定'!$B$2</x:f>
        <x:v>46298</x:v>
      </x:c>
      <x:c r="R89" s="36" t="n">
        <x:f>'テスト設定'!$B$2</x:f>
        <x:v>46298</x:v>
      </x:c>
      <x:c r="S89" s="36" t="n">
        <x:f>IF(F89="","",IF(ISNUMBER(F89),F89+'テスト設定'!$B$6,F89))</x:f>
        <x:v>46307.62430555555</x:v>
      </x:c>
      <x:c r="T89" s="36" t="n">
        <x:f>IF(S89="","",S89)</x:f>
        <x:v>46307.62430555555</x:v>
      </x:c>
    </x:row>
    <x:row r="90" ht="34" customHeight="1">
      <x:c r="A90" s="27" t="n">
        <x:v>46274.291666666664</x:v>
      </x:c>
      <x:c r="B90" s="27" t="str">
        <x:v>SIM-INCA-089</x:v>
      </x:c>
      <x:c r="C90" s="27" t="str">
        <x:v>inCampus</x:v>
      </x:c>
      <x:c r="D90" s="27" t="str">
        <x:v>サンプル情報設計</x:v>
      </x:c>
      <x:c r="E90" s="27" t="str">
        <x:v>仮想課題-089</x:v>
      </x:c>
      <x:c r="F90" s="27" t="n">
        <x:v>46285.62430555555</x:v>
      </x:c>
      <x:c r="G90" s="27" t="str">
        <x:v>期限検出</x:v>
      </x:c>
      <x:c r="H90" s="27" t="str">
        <x:v>新しい課題: 仮想課題-089</x:v>
      </x:c>
      <x:c r="I90" s="27" t="str">
        <x:v>架空担当C &lt;fixture-089@example.invalid&gt;</x:v>
      </x:c>
      <x:c r="J90" s="27" t="n">
        <x:v>46274.041666666664</x:v>
      </x:c>
      <x:c r="K90" s="27" t="str">
        <x:v>https://mail.example.invalid/thread/SIM-INCA-089</x:v>
      </x:c>
      <x:c r="L90" s="28" t="str">
        <x:v>履修者：SIM-000089
曜日・時限：金曜2限
授業名：サンプル情報設計
教員名：架空担当C
更新内容：
・課題（仮想課題-089）が追加されました。（2026/09/10 08:00）
参照：https://portal.example.invalid/demo/SIM-INCA-089</x:v>
      </x:c>
      <x:c r="M90" s="27" t="str">
        <x:v>未確認</x:v>
      </x:c>
      <x:c r="N90" s="27" t="str"/>
      <x:c r="O90" s="27" t="str"/>
      <x:c r="P90" s="27" t="str"/>
      <x:c r="Q90" s="36" t="n">
        <x:f>'テスト設定'!$B$2</x:f>
        <x:v>46298</x:v>
      </x:c>
      <x:c r="R90" s="36" t="n">
        <x:f>'テスト設定'!$B$2</x:f>
        <x:v>46298</x:v>
      </x:c>
      <x:c r="S90" s="36" t="n">
        <x:f>IF(F90="","",IF(ISNUMBER(F90),F90+'テスト設定'!$B$6,F90))</x:f>
        <x:v>46308.62430555555</x:v>
      </x:c>
      <x:c r="T90" s="36" t="n">
        <x:f>IF(S90="","",S90)</x:f>
        <x:v>46308.62430555555</x:v>
      </x:c>
    </x:row>
    <x:row r="91" ht="34" customHeight="1">
      <x:c r="A91" s="27" t="n">
        <x:v>46273.958333333336</x:v>
      </x:c>
      <x:c r="B91" s="27" t="str">
        <x:v>SIM-INCA-090</x:v>
      </x:c>
      <x:c r="C91" s="27" t="str">
        <x:v>inCampus</x:v>
      </x:c>
      <x:c r="D91" s="27" t="str">
        <x:v>架空データ解析</x:v>
      </x:c>
      <x:c r="E91" s="27" t="str">
        <x:v>仮想課題-090</x:v>
      </x:c>
      <x:c r="F91" s="27" t="n">
        <x:v>46268.62430555555</x:v>
      </x:c>
      <x:c r="G91" s="27" t="str">
        <x:v>期限検出</x:v>
      </x:c>
      <x:c r="H91" s="27" t="str">
        <x:v>新しい課題: 仮想課題-090</x:v>
      </x:c>
      <x:c r="I91" s="27" t="str">
        <x:v>架空担当A &lt;fixture-090@example.invalid&gt;</x:v>
      </x:c>
      <x:c r="J91" s="27" t="n">
        <x:v>46274.083333333336</x:v>
      </x:c>
      <x:c r="K91" s="27" t="str">
        <x:v>https://mail.example.invalid/thread/SIM-INCA-090</x:v>
      </x:c>
      <x:c r="L91" s="28" t="str">
        <x:v>履修者：SIM-000090
曜日・時限：月曜1限
授業名：架空データ解析
教員名：架空担当A
更新内容：
・課題（仮想課題-090）が追加されました。（2026/09/10 08:00）
参照：https://portal.example.invalid/demo/SIM-INCA-090</x:v>
      </x:c>
      <x:c r="M91" s="27" t="str">
        <x:v>未確認</x:v>
      </x:c>
      <x:c r="N91" s="27" t="str"/>
      <x:c r="O91" s="27" t="str"/>
      <x:c r="P91" s="27" t="str"/>
      <x:c r="Q91" s="36" t="n">
        <x:f>'テスト設定'!$B$2</x:f>
        <x:v>46298</x:v>
      </x:c>
      <x:c r="R91" s="36" t="n">
        <x:f>'テスト設定'!$B$2</x:f>
        <x:v>46298</x:v>
      </x:c>
      <x:c r="S91" s="36" t="n">
        <x:f>IF(F91="","",IF(ISNUMBER(F91),F91+'テスト設定'!$B$6,F91))</x:f>
        <x:v>46291.62430555555</x:v>
      </x:c>
      <x:c r="T91" s="36" t="n">
        <x:f>IF(S91="","",S91)</x:f>
        <x:v>46291.62430555555</x:v>
      </x:c>
    </x:row>
    <x:row r="92" ht="34" customHeight="1">
      <x:c r="A92" s="27" t="n">
        <x:v>46274</x:v>
      </x:c>
      <x:c r="B92" s="27" t="str">
        <x:v>SIM-INCA-091</x:v>
      </x:c>
      <x:c r="C92" s="27" t="str">
        <x:v>inCampus</x:v>
      </x:c>
      <x:c r="D92" s="27" t="str">
        <x:v>仮想心理演習</x:v>
      </x:c>
      <x:c r="E92" s="27" t="str">
        <x:v>仮想お知らせ-091</x:v>
      </x:c>
      <x:c r="F92" s="27" t="str"/>
      <x:c r="G92" s="27" t="str">
        <x:v>期限未検出・要確認</x:v>
      </x:c>
      <x:c r="H92" s="27" t="str">
        <x:v>新しいお知らせ: 仮想お知らせ-091</x:v>
      </x:c>
      <x:c r="I92" s="27" t="str">
        <x:v>架空担当B &lt;fixture-091@example.invalid&gt;</x:v>
      </x:c>
      <x:c r="J92" s="27" t="n">
        <x:v>46274.125</x:v>
      </x:c>
      <x:c r="K92" s="27" t="str">
        <x:v>https://mail.example.invalid/thread/SIM-INCA-091</x:v>
      </x:c>
      <x:c r="L92" s="28" t="str">
        <x:v>履修者：SIM-000091
曜日・時限：火曜3限
授業名：仮想心理演習
教員名：架空担当B
更新内容：
・お知らせ（仮想お知らせ-091）が追加されました。（2026/09/10 08:00）
参照：https://portal.example.invalid/demo/SIM-INCA-091</x:v>
      </x:c>
      <x:c r="M92" s="27" t="str">
        <x:v>未確認</x:v>
      </x:c>
      <x:c r="N92" s="27" t="str"/>
      <x:c r="O92" s="27" t="str"/>
      <x:c r="P92" s="27" t="str"/>
      <x:c r="Q92" s="36" t="n">
        <x:f>'テスト設定'!$B$2</x:f>
        <x:v>46298</x:v>
      </x:c>
      <x:c r="R92" s="36" t="n">
        <x:f>'テスト設定'!$B$2</x:f>
        <x:v>46298</x:v>
      </x:c>
      <x:c r="S92" s="36" t="str">
        <x:f>IF(F92="","",IF(ISNUMBER(F92),F92+'テスト設定'!$B$6,F92))</x:f>
      </x:c>
      <x:c r="T92" s="36" t="str">
        <x:f>IF(S92="","",S92)</x:f>
      </x:c>
    </x:row>
    <x:row r="93" ht="34" customHeight="1">
      <x:c r="A93" s="27" t="n">
        <x:v>46274.041666666664</x:v>
      </x:c>
      <x:c r="B93" s="27" t="str">
        <x:v>SIM-INCA-092</x:v>
      </x:c>
      <x:c r="C93" s="27" t="str">
        <x:v>inCampus</x:v>
      </x:c>
      <x:c r="D93" s="27" t="str">
        <x:v>サンプル情報設計</x:v>
      </x:c>
      <x:c r="E93" s="27" t="str">
        <x:v>仮想課題-092</x:v>
      </x:c>
      <x:c r="F93" s="27" t="n">
        <x:v>46270.62430555555</x:v>
      </x:c>
      <x:c r="G93" s="27" t="str">
        <x:v>期限検出</x:v>
      </x:c>
      <x:c r="H93" s="27" t="str">
        <x:v>新しい課題: 仮想課題-092</x:v>
      </x:c>
      <x:c r="I93" s="27" t="str">
        <x:v>架空担当C &lt;fixture-092@example.invalid&gt;</x:v>
      </x:c>
      <x:c r="J93" s="27" t="n">
        <x:v>46274.166666666664</x:v>
      </x:c>
      <x:c r="K93" s="27" t="str">
        <x:v>https://mail.example.invalid/thread/SIM-INCA-092</x:v>
      </x:c>
      <x:c r="L93" s="28" t="str">
        <x:v>履修者：SIM-000092
曜日・時限：金曜2限
授業名：サンプル情報設計
教員名：架空担当C
更新内容：
・課題（仮想課題-092）が追加されました。（2026/09/10 08:00）
参照：https://portal.example.invalid/demo/SIM-INCA-092</x:v>
      </x:c>
      <x:c r="M93" s="27" t="str">
        <x:v>未確認</x:v>
      </x:c>
      <x:c r="N93" s="27" t="str"/>
      <x:c r="O93" s="27" t="str"/>
      <x:c r="P93" s="27" t="str"/>
      <x:c r="Q93" s="36" t="n">
        <x:f>'テスト設定'!$B$2</x:f>
        <x:v>46298</x:v>
      </x:c>
      <x:c r="R93" s="36" t="n">
        <x:f>'テスト設定'!$B$2</x:f>
        <x:v>46298</x:v>
      </x:c>
      <x:c r="S93" s="36" t="n">
        <x:f>IF(F93="","",IF(ISNUMBER(F93),F93+'テスト設定'!$B$6,F93))</x:f>
        <x:v>46293.62430555555</x:v>
      </x:c>
      <x:c r="T93" s="36" t="n">
        <x:f>IF(S93="","",S93)</x:f>
        <x:v>46293.62430555555</x:v>
      </x:c>
    </x:row>
    <x:row r="94" ht="34" customHeight="1">
      <x:c r="A94" s="27" t="n">
        <x:v>46274.083333333336</x:v>
      </x:c>
      <x:c r="B94" s="27" t="str">
        <x:v>SIM-INCA-093</x:v>
      </x:c>
      <x:c r="C94" s="27" t="str">
        <x:v>inCampus</x:v>
      </x:c>
      <x:c r="D94" s="27" t="str">
        <x:v>架空データ解析</x:v>
      </x:c>
      <x:c r="E94" s="27" t="str">
        <x:v>仮想課題-093</x:v>
      </x:c>
      <x:c r="F94" s="27" t="n">
        <x:v>46271.62430555555</x:v>
      </x:c>
      <x:c r="G94" s="27" t="str">
        <x:v>期限検出</x:v>
      </x:c>
      <x:c r="H94" s="27" t="str">
        <x:v>新しい課題: 仮想課題-093</x:v>
      </x:c>
      <x:c r="I94" s="27" t="str">
        <x:v>架空担当A &lt;fixture-093@example.invalid&gt;</x:v>
      </x:c>
      <x:c r="J94" s="27" t="n">
        <x:v>46274.208333333336</x:v>
      </x:c>
      <x:c r="K94" s="27" t="str">
        <x:v>https://mail.example.invalid/thread/SIM-INCA-093</x:v>
      </x:c>
      <x:c r="L94" s="28" t="str">
        <x:v>履修者：SIM-000093
曜日・時限：月曜1限
授業名：架空データ解析
教員名：架空担当A
更新内容：
・課題（仮想課題-093）が追加されました。（2026/09/10 08:00）
参照：https://portal.example.invalid/demo/SIM-INCA-093</x:v>
      </x:c>
      <x:c r="M94" s="27" t="str">
        <x:v>未確認</x:v>
      </x:c>
      <x:c r="N94" s="27" t="str"/>
      <x:c r="O94" s="27" t="str"/>
      <x:c r="P94" s="27" t="str"/>
      <x:c r="Q94" s="36" t="n">
        <x:f>'テスト設定'!$B$2</x:f>
        <x:v>46298</x:v>
      </x:c>
      <x:c r="R94" s="36" t="n">
        <x:f>'テスト設定'!$B$2</x:f>
        <x:v>46298</x:v>
      </x:c>
      <x:c r="S94" s="36" t="n">
        <x:f>IF(F94="","",IF(ISNUMBER(F94),F94+'テスト設定'!$B$6,F94))</x:f>
        <x:v>46294.62430555555</x:v>
      </x:c>
      <x:c r="T94" s="36" t="n">
        <x:f>IF(S94="","",S94)</x:f>
        <x:v>46294.62430555555</x:v>
      </x:c>
    </x:row>
    <x:row r="95" ht="34" customHeight="1">
      <x:c r="A95" s="27" t="n">
        <x:v>46274.125</x:v>
      </x:c>
      <x:c r="B95" s="27" t="str">
        <x:v>SIM-INCA-094</x:v>
      </x:c>
      <x:c r="C95" s="27" t="str">
        <x:v>inCampus</x:v>
      </x:c>
      <x:c r="D95" s="27" t="str">
        <x:v>仮想心理演習</x:v>
      </x:c>
      <x:c r="E95" s="27" t="str">
        <x:v>仮想課題-094</x:v>
      </x:c>
      <x:c r="F95" s="27" t="n">
        <x:v>46272.62430555555</x:v>
      </x:c>
      <x:c r="G95" s="27" t="str">
        <x:v>期限検出</x:v>
      </x:c>
      <x:c r="H95" s="27" t="str">
        <x:v>新しい課題: 仮想課題-094</x:v>
      </x:c>
      <x:c r="I95" s="27" t="str">
        <x:v>架空担当B &lt;fixture-094@example.invalid&gt;</x:v>
      </x:c>
      <x:c r="J95" s="27" t="n">
        <x:v>46274.25</x:v>
      </x:c>
      <x:c r="K95" s="27" t="str">
        <x:v>https://mail.example.invalid/thread/SIM-INCA-094</x:v>
      </x:c>
      <x:c r="L95" s="28" t="str">
        <x:v>履修者：SIM-000094
曜日・時限：火曜3限
授業名：仮想心理演習
教員名：架空担当B
更新内容：
・課題（仮想課題-094）が追加されました。（2026/09/10 08:00）
参照：https://portal.example.invalid/demo/SIM-INCA-094</x:v>
      </x:c>
      <x:c r="M95" s="27" t="str">
        <x:v>未確認</x:v>
      </x:c>
      <x:c r="N95" s="27" t="str"/>
      <x:c r="O95" s="27" t="str"/>
      <x:c r="P95" s="27" t="str"/>
      <x:c r="Q95" s="36" t="n">
        <x:f>'テスト設定'!$B$2</x:f>
        <x:v>46298</x:v>
      </x:c>
      <x:c r="R95" s="36" t="n">
        <x:f>'テスト設定'!$B$2</x:f>
        <x:v>46298</x:v>
      </x:c>
      <x:c r="S95" s="36" t="n">
        <x:f>IF(F95="","",IF(ISNUMBER(F95),F95+'テスト設定'!$B$6,F95))</x:f>
        <x:v>46295.62430555555</x:v>
      </x:c>
      <x:c r="T95" s="36" t="n">
        <x:f>IF(S95="","",S95)</x:f>
        <x:v>46295.62430555555</x:v>
      </x:c>
    </x:row>
    <x:row r="96" ht="34" customHeight="1">
      <x:c r="A96" s="27" t="n">
        <x:v>46274.166666666664</x:v>
      </x:c>
      <x:c r="B96" s="27" t="str">
        <x:v>SIM-INCA-095</x:v>
      </x:c>
      <x:c r="C96" s="27" t="str">
        <x:v>inCampus</x:v>
      </x:c>
      <x:c r="D96" s="27" t="str">
        <x:v>サンプル情報設計</x:v>
      </x:c>
      <x:c r="E96" s="27" t="str">
        <x:v>仮想課題-095</x:v>
      </x:c>
      <x:c r="F96" s="27" t="n">
        <x:v>46273.62430555555</x:v>
      </x:c>
      <x:c r="G96" s="27" t="str">
        <x:v>期限検出</x:v>
      </x:c>
      <x:c r="H96" s="27" t="str">
        <x:v>新しい課題: 仮想課題-095</x:v>
      </x:c>
      <x:c r="I96" s="27" t="str">
        <x:v>架空担当C &lt;fixture-095@example.invalid&gt;</x:v>
      </x:c>
      <x:c r="J96" s="27" t="n">
        <x:v>46274.291666666664</x:v>
      </x:c>
      <x:c r="K96" s="27" t="str">
        <x:v>https://mail.example.invalid/thread/SIM-INCA-095</x:v>
      </x:c>
      <x:c r="L96" s="28" t="str">
        <x:v>履修者：SIM-000095
曜日・時限：金曜2限
授業名：サンプル情報設計
教員名：架空担当C
更新内容：
・課題（仮想課題-095）が追加されました。（2026/09/10 08:00）
参照：https://portal.example.invalid/demo/SIM-INCA-095</x:v>
      </x:c>
      <x:c r="M96" s="27" t="str">
        <x:v>未確認</x:v>
      </x:c>
      <x:c r="N96" s="27" t="str"/>
      <x:c r="O96" s="27" t="str"/>
      <x:c r="P96" s="27" t="str"/>
      <x:c r="Q96" s="36" t="n">
        <x:f>'テスト設定'!$B$2</x:f>
        <x:v>46298</x:v>
      </x:c>
      <x:c r="R96" s="36" t="n">
        <x:f>'テスト設定'!$B$2</x:f>
        <x:v>46298</x:v>
      </x:c>
      <x:c r="S96" s="36" t="n">
        <x:f>IF(F96="","",IF(ISNUMBER(F96),F96+'テスト設定'!$B$6,F96))</x:f>
        <x:v>46296.62430555555</x:v>
      </x:c>
      <x:c r="T96" s="36" t="n">
        <x:f>IF(S96="","",S96)</x:f>
        <x:v>46296.62430555555</x:v>
      </x:c>
    </x:row>
    <x:row r="97" ht="34" customHeight="1">
      <x:c r="A97" s="27" t="n">
        <x:v>46274.208333333336</x:v>
      </x:c>
      <x:c r="B97" s="27" t="str">
        <x:v>SIM-INCA-096</x:v>
      </x:c>
      <x:c r="C97" s="27" t="str">
        <x:v>inCampus</x:v>
      </x:c>
      <x:c r="D97" s="27" t="str">
        <x:v>架空データ解析</x:v>
      </x:c>
      <x:c r="E97" s="27" t="str">
        <x:v>仮想課題-096</x:v>
      </x:c>
      <x:c r="F97" s="27" t="n">
        <x:v>46274.62430555555</x:v>
      </x:c>
      <x:c r="G97" s="27" t="str">
        <x:v>期限検出</x:v>
      </x:c>
      <x:c r="H97" s="27" t="str">
        <x:v>新しい課題: 仮想課題-096</x:v>
      </x:c>
      <x:c r="I97" s="27" t="str">
        <x:v>架空担当A &lt;fixture-096@example.invalid&gt;</x:v>
      </x:c>
      <x:c r="J97" s="27" t="n">
        <x:v>46274</x:v>
      </x:c>
      <x:c r="K97" s="27" t="str">
        <x:v>https://mail.example.invalid/thread/SIM-INCA-096</x:v>
      </x:c>
      <x:c r="L97" s="28" t="str">
        <x:v>履修者：SIM-000096
曜日・時限：月曜1限
授業名：架空データ解析
教員名：架空担当A
更新内容：
・課題（仮想課題-096）が追加されました。（2026/09/10 08:00）
参照：https://portal.example.invalid/demo/SIM-INCA-096</x:v>
      </x:c>
      <x:c r="M97" s="27" t="str">
        <x:v>未確認</x:v>
      </x:c>
      <x:c r="N97" s="27" t="str"/>
      <x:c r="O97" s="27" t="str"/>
      <x:c r="P97" s="27" t="str"/>
      <x:c r="Q97" s="36" t="n">
        <x:f>'テスト設定'!$B$2</x:f>
        <x:v>46298</x:v>
      </x:c>
      <x:c r="R97" s="36" t="n">
        <x:f>'テスト設定'!$B$2</x:f>
        <x:v>46298</x:v>
      </x:c>
      <x:c r="S97" s="36" t="n">
        <x:f>IF(F97="","",IF(ISNUMBER(F97),F97+'テスト設定'!$B$6,F97))</x:f>
        <x:v>46297.62430555555</x:v>
      </x:c>
      <x:c r="T97" s="36" t="n">
        <x:f>IF(S97="","",S97)</x:f>
        <x:v>46297.62430555555</x:v>
      </x:c>
    </x:row>
    <x:row r="98" ht="34" customHeight="1">
      <x:c r="A98" s="27" t="n">
        <x:v>46274.25</x:v>
      </x:c>
      <x:c r="B98" s="27" t="str">
        <x:v>SIM-INCA-097</x:v>
      </x:c>
      <x:c r="C98" s="27" t="str">
        <x:v>inCampus</x:v>
      </x:c>
      <x:c r="D98" s="27" t="str">
        <x:v>仮想心理演習</x:v>
      </x:c>
      <x:c r="E98" s="27" t="str">
        <x:v>仮想課題-097</x:v>
      </x:c>
      <x:c r="F98" s="27" t="n">
        <x:v>46275.62430555555</x:v>
      </x:c>
      <x:c r="G98" s="27" t="str">
        <x:v>期限検出</x:v>
      </x:c>
      <x:c r="H98" s="27" t="str">
        <x:v>新しい課題: 仮想課題-097</x:v>
      </x:c>
      <x:c r="I98" s="27" t="str">
        <x:v>架空担当B &lt;fixture-097@example.invalid&gt;</x:v>
      </x:c>
      <x:c r="J98" s="27" t="n">
        <x:v>46274.041666666664</x:v>
      </x:c>
      <x:c r="K98" s="27" t="str">
        <x:v>https://mail.example.invalid/thread/SIM-INCA-097</x:v>
      </x:c>
      <x:c r="L98" s="28" t="str">
        <x:v>履修者：SIM-000097
曜日・時限：火曜3限
授業名：仮想心理演習
教員名：架空担当B
更新内容：
・課題（仮想課題-097）が追加されました。（2026/09/10 08:00）
参照：https://portal.example.invalid/demo/SIM-INCA-097</x:v>
      </x:c>
      <x:c r="M98" s="27" t="str">
        <x:v>未確認</x:v>
      </x:c>
      <x:c r="N98" s="27" t="str"/>
      <x:c r="O98" s="27" t="str"/>
      <x:c r="P98" s="27" t="str"/>
      <x:c r="Q98" s="36" t="n">
        <x:f>'テスト設定'!$B$2</x:f>
        <x:v>46298</x:v>
      </x:c>
      <x:c r="R98" s="36" t="n">
        <x:f>'テスト設定'!$B$2</x:f>
        <x:v>46298</x:v>
      </x:c>
      <x:c r="S98" s="36" t="n">
        <x:f>IF(F98="","",IF(ISNUMBER(F98),F98+'テスト設定'!$B$6,F98))</x:f>
        <x:v>46298.62430555555</x:v>
      </x:c>
      <x:c r="T98" s="36" t="n">
        <x:f>IF(S98="","",S98)</x:f>
        <x:v>46298.62430555555</x:v>
      </x:c>
    </x:row>
    <x:row r="99" ht="34" customHeight="1">
      <x:c r="A99" s="27" t="n">
        <x:v>46274.291666666664</x:v>
      </x:c>
      <x:c r="B99" s="27" t="str">
        <x:v>SIM-INCA-098</x:v>
      </x:c>
      <x:c r="C99" s="27" t="str">
        <x:v>inCampus</x:v>
      </x:c>
      <x:c r="D99" s="27" t="str">
        <x:v>サンプル情報設計</x:v>
      </x:c>
      <x:c r="E99" s="27" t="str">
        <x:v>仮想課題-098</x:v>
      </x:c>
      <x:c r="F99" s="27" t="n">
        <x:v>46276.62430555555</x:v>
      </x:c>
      <x:c r="G99" s="27" t="str">
        <x:v>期限検出</x:v>
      </x:c>
      <x:c r="H99" s="27" t="str">
        <x:v>新しい課題: 仮想課題-098</x:v>
      </x:c>
      <x:c r="I99" s="27" t="str">
        <x:v>架空担当C &lt;fixture-098@example.invalid&gt;</x:v>
      </x:c>
      <x:c r="J99" s="27" t="n">
        <x:v>46274.083333333336</x:v>
      </x:c>
      <x:c r="K99" s="27" t="str">
        <x:v>https://mail.example.invalid/thread/SIM-INCA-098</x:v>
      </x:c>
      <x:c r="L99" s="28" t="str">
        <x:v>履修者：SIM-000098
曜日・時限：金曜2限
授業名：サンプル情報設計
教員名：架空担当C
更新内容：
・課題（仮想課題-098）が追加されました。（2026/09/10 08:00）
参照：https://portal.example.invalid/demo/SIM-INCA-098</x:v>
      </x:c>
      <x:c r="M99" s="27" t="str">
        <x:v>未確認</x:v>
      </x:c>
      <x:c r="N99" s="27" t="str"/>
      <x:c r="O99" s="27" t="str"/>
      <x:c r="P99" s="27" t="str"/>
      <x:c r="Q99" s="36" t="n">
        <x:f>'テスト設定'!$B$2</x:f>
        <x:v>46298</x:v>
      </x:c>
      <x:c r="R99" s="36" t="n">
        <x:f>'テスト設定'!$B$2</x:f>
        <x:v>46298</x:v>
      </x:c>
      <x:c r="S99" s="36" t="n">
        <x:f>IF(F99="","",IF(ISNUMBER(F99),F99+'テスト設定'!$B$6,F99))</x:f>
        <x:v>46299.62430555555</x:v>
      </x:c>
      <x:c r="T99" s="36" t="n">
        <x:f>IF(S99="","",S99)</x:f>
        <x:v>46299.62430555555</x:v>
      </x:c>
    </x:row>
    <x:row r="100" ht="34" customHeight="1">
      <x:c r="A100" s="27" t="n">
        <x:v>46273.958333333336</x:v>
      </x:c>
      <x:c r="B100" s="27" t="str">
        <x:v>SIM-INCA-099</x:v>
      </x:c>
      <x:c r="C100" s="27" t="str">
        <x:v>inCampus</x:v>
      </x:c>
      <x:c r="D100" s="27" t="str">
        <x:v>架空データ解析</x:v>
      </x:c>
      <x:c r="E100" s="27" t="str">
        <x:v>仮想課題-099</x:v>
      </x:c>
      <x:c r="F100" s="27" t="n">
        <x:v>46277.62430555555</x:v>
      </x:c>
      <x:c r="G100" s="27" t="str">
        <x:v>期限検出</x:v>
      </x:c>
      <x:c r="H100" s="27" t="str">
        <x:v>新しい課題: 仮想課題-099</x:v>
      </x:c>
      <x:c r="I100" s="27" t="str">
        <x:v>架空担当A &lt;fixture-099@example.invalid&gt;</x:v>
      </x:c>
      <x:c r="J100" s="27" t="n">
        <x:v>46274.125</x:v>
      </x:c>
      <x:c r="K100" s="27" t="str">
        <x:v>https://mail.example.invalid/thread/SIM-INCA-099</x:v>
      </x:c>
      <x:c r="L100" s="28" t="str">
        <x:v>履修者：SIM-000099
曜日・時限：月曜1限
授業名：架空データ解析
教員名：架空担当A
更新内容：
・課題（仮想課題-099）が追加されました。（2026/09/10 08:00）
参照：https://portal.example.invalid/demo/SIM-INCA-099</x:v>
      </x:c>
      <x:c r="M100" s="27" t="str">
        <x:v>未確認</x:v>
      </x:c>
      <x:c r="N100" s="27" t="str"/>
      <x:c r="O100" s="27" t="str"/>
      <x:c r="P100" s="27" t="str"/>
      <x:c r="Q100" s="36" t="n">
        <x:f>'テスト設定'!$B$2</x:f>
        <x:v>46298</x:v>
      </x:c>
      <x:c r="R100" s="36" t="n">
        <x:f>'テスト設定'!$B$2</x:f>
        <x:v>46298</x:v>
      </x:c>
      <x:c r="S100" s="36" t="n">
        <x:f>IF(F100="","",IF(ISNUMBER(F100),F100+'テスト設定'!$B$6,F100))</x:f>
        <x:v>46300.62430555555</x:v>
      </x:c>
      <x:c r="T100" s="36" t="n">
        <x:f>IF(S100="","",S100)</x:f>
        <x:v>46300.62430555555</x:v>
      </x:c>
    </x:row>
    <x:row r="101" ht="34" customHeight="1">
      <x:c r="A101" s="27" t="n">
        <x:v>46274</x:v>
      </x:c>
      <x:c r="B101" s="27" t="str">
        <x:v>SIM-INCA-100</x:v>
      </x:c>
      <x:c r="C101" s="27" t="str">
        <x:v>inCampus</x:v>
      </x:c>
      <x:c r="D101" s="27" t="str">
        <x:v>仮想心理演習</x:v>
      </x:c>
      <x:c r="E101" s="27" t="str">
        <x:v>仮想課題-100</x:v>
      </x:c>
      <x:c r="F101" s="27" t="n">
        <x:v>46278.62430555555</x:v>
      </x:c>
      <x:c r="G101" s="27" t="str">
        <x:v>期限検出</x:v>
      </x:c>
      <x:c r="H101" s="27" t="str">
        <x:v>新しい課題: 仮想課題-100</x:v>
      </x:c>
      <x:c r="I101" s="27" t="str">
        <x:v>架空担当B &lt;fixture-100@example.invalid&gt;</x:v>
      </x:c>
      <x:c r="J101" s="27" t="n">
        <x:v>46274.166666666664</x:v>
      </x:c>
      <x:c r="K101" s="27" t="str">
        <x:v>https://mail.example.invalid/thread/SIM-INCA-100</x:v>
      </x:c>
      <x:c r="L101" s="28" t="str">
        <x:v>履修者：SIM-000100
曜日・時限：火曜3限
授業名：仮想心理演習
教員名：架空担当B
更新内容：
・課題（仮想課題-100）が追加されました。（2026/09/10 08:00）
参照：https://portal.example.invalid/demo/SIM-INCA-100</x:v>
      </x:c>
      <x:c r="M101" s="27" t="str">
        <x:v>未確認</x:v>
      </x:c>
      <x:c r="N101" s="27" t="str"/>
      <x:c r="O101" s="27" t="str"/>
      <x:c r="P101" s="27" t="str"/>
      <x:c r="Q101" s="36" t="n">
        <x:f>'テスト設定'!$B$2</x:f>
        <x:v>46298</x:v>
      </x:c>
      <x:c r="R101" s="36" t="n">
        <x:f>'テスト設定'!$B$2</x:f>
        <x:v>46298</x:v>
      </x:c>
      <x:c r="S101" s="36" t="n">
        <x:f>IF(F101="","",IF(ISNUMBER(F101),F101+'テスト設定'!$B$6,F101))</x:f>
        <x:v>46301.62430555555</x:v>
      </x:c>
      <x:c r="T101" s="36" t="n">
        <x:f>IF(S101="","",S101)</x:f>
        <x:v>46301.62430555555</x:v>
      </x:c>
    </x:row>
    <x:row r="102" ht="34" customHeight="1">
      <x:c r="A102" s="27" t="n">
        <x:v>46274.041666666664</x:v>
      </x:c>
      <x:c r="B102" s="27" t="str">
        <x:v>SIM-INCA-101</x:v>
      </x:c>
      <x:c r="C102" s="27" t="str">
        <x:v>inCampus</x:v>
      </x:c>
      <x:c r="D102" s="27" t="str">
        <x:v>サンプル情報設計</x:v>
      </x:c>
      <x:c r="E102" s="27" t="str">
        <x:v>仮想課題-101</x:v>
      </x:c>
      <x:c r="F102" s="27" t="n">
        <x:v>46279.62430555555</x:v>
      </x:c>
      <x:c r="G102" s="27" t="str">
        <x:v>期限検出</x:v>
      </x:c>
      <x:c r="H102" s="27" t="str">
        <x:v>新しい課題: 仮想課題-101</x:v>
      </x:c>
      <x:c r="I102" s="27" t="str">
        <x:v>架空担当C &lt;fixture-101@example.invalid&gt;</x:v>
      </x:c>
      <x:c r="J102" s="27" t="n">
        <x:v>46274.208333333336</x:v>
      </x:c>
      <x:c r="K102" s="27" t="str">
        <x:v>https://mail.example.invalid/thread/SIM-INCA-101</x:v>
      </x:c>
      <x:c r="L102" s="28" t="str">
        <x:v>履修者：SIM-000101
曜日・時限：金曜2限
授業名：サンプル情報設計
教員名：架空担当C
更新内容：
・課題（仮想課題-101）が追加されました。（2026/09/10 08:00）
参照：https://portal.example.invalid/demo/SIM-INCA-101</x:v>
      </x:c>
      <x:c r="M102" s="27" t="str">
        <x:v>未確認</x:v>
      </x:c>
      <x:c r="N102" s="27" t="str"/>
      <x:c r="O102" s="27" t="str"/>
      <x:c r="P102" s="27" t="str"/>
      <x:c r="Q102" s="36" t="n">
        <x:f>'テスト設定'!$B$2</x:f>
        <x:v>46298</x:v>
      </x:c>
      <x:c r="R102" s="36" t="n">
        <x:f>'テスト設定'!$B$2</x:f>
        <x:v>46298</x:v>
      </x:c>
      <x:c r="S102" s="36" t="n">
        <x:f>IF(F102="","",IF(ISNUMBER(F102),F102+'テスト設定'!$B$6,F102))</x:f>
        <x:v>46302.62430555555</x:v>
      </x:c>
      <x:c r="T102" s="36" t="n">
        <x:f>IF(S102="","",S102)</x:f>
        <x:v>46302.62430555555</x:v>
      </x:c>
    </x:row>
    <x:row r="103" ht="34" customHeight="1">
      <x:c r="A103" s="27" t="n">
        <x:v>46274.083333333336</x:v>
      </x:c>
      <x:c r="B103" s="27" t="str">
        <x:v>SIM-INCA-102</x:v>
      </x:c>
      <x:c r="C103" s="27" t="str">
        <x:v>inCampus</x:v>
      </x:c>
      <x:c r="D103" s="27" t="str">
        <x:v>架空データ解析</x:v>
      </x:c>
      <x:c r="E103" s="27" t="str">
        <x:v>仮想課題-102</x:v>
      </x:c>
      <x:c r="F103" s="27" t="n">
        <x:v>46280.62430555555</x:v>
      </x:c>
      <x:c r="G103" s="27" t="str">
        <x:v>期限検出</x:v>
      </x:c>
      <x:c r="H103" s="27" t="str">
        <x:v>新しい課題: 仮想課題-102</x:v>
      </x:c>
      <x:c r="I103" s="27" t="str">
        <x:v>架空担当A &lt;fixture-102@example.invalid&gt;</x:v>
      </x:c>
      <x:c r="J103" s="27" t="n">
        <x:v>46274.25</x:v>
      </x:c>
      <x:c r="K103" s="27" t="str">
        <x:v>https://mail.example.invalid/thread/SIM-INCA-102</x:v>
      </x:c>
      <x:c r="L103" s="28" t="str">
        <x:v>履修者：SIM-000102
曜日・時限：月曜1限
授業名：架空データ解析
教員名：架空担当A
更新内容：
・課題（仮想課題-102）が追加されました。（2026/09/10 08:00）
参照：https://portal.example.invalid/demo/SIM-INCA-102</x:v>
      </x:c>
      <x:c r="M103" s="27" t="str">
        <x:v>未確認</x:v>
      </x:c>
      <x:c r="N103" s="27" t="str"/>
      <x:c r="O103" s="27" t="str"/>
      <x:c r="P103" s="27" t="str"/>
      <x:c r="Q103" s="36" t="n">
        <x:f>'テスト設定'!$B$2</x:f>
        <x:v>46298</x:v>
      </x:c>
      <x:c r="R103" s="36" t="n">
        <x:f>'テスト設定'!$B$2</x:f>
        <x:v>46298</x:v>
      </x:c>
      <x:c r="S103" s="36" t="n">
        <x:f>IF(F103="","",IF(ISNUMBER(F103),F103+'テスト設定'!$B$6,F103))</x:f>
        <x:v>46303.62430555555</x:v>
      </x:c>
      <x:c r="T103" s="36" t="n">
        <x:f>IF(S103="","",S103)</x:f>
        <x:v>46303.62430555555</x:v>
      </x:c>
    </x:row>
    <x:row r="104" ht="34" customHeight="1">
      <x:c r="A104" s="27" t="n">
        <x:v>46274.125</x:v>
      </x:c>
      <x:c r="B104" s="27" t="str">
        <x:v>SIM-INCA-103</x:v>
      </x:c>
      <x:c r="C104" s="27" t="str">
        <x:v>inCampus</x:v>
      </x:c>
      <x:c r="D104" s="27" t="str">
        <x:v>仮想心理演習</x:v>
      </x:c>
      <x:c r="E104" s="27" t="str">
        <x:v>仮想課題-103</x:v>
      </x:c>
      <x:c r="F104" s="27" t="n">
        <x:v>46281.62430555555</x:v>
      </x:c>
      <x:c r="G104" s="27" t="str">
        <x:v>期限検出</x:v>
      </x:c>
      <x:c r="H104" s="27" t="str">
        <x:v>新しい課題: 仮想課題-103</x:v>
      </x:c>
      <x:c r="I104" s="27" t="str">
        <x:v>架空担当B &lt;fixture-103@example.invalid&gt;</x:v>
      </x:c>
      <x:c r="J104" s="27" t="n">
        <x:v>46274.291666666664</x:v>
      </x:c>
      <x:c r="K104" s="27" t="str">
        <x:v>https://mail.example.invalid/thread/SIM-INCA-103</x:v>
      </x:c>
      <x:c r="L104" s="28" t="str">
        <x:v>履修者：SIM-000103
曜日・時限：火曜3限
授業名：仮想心理演習
教員名：架空担当B
更新内容：
・課題（仮想課題-103）が追加されました。（2026/09/10 08:00）
参照：https://portal.example.invalid/demo/SIM-INCA-103</x:v>
      </x:c>
      <x:c r="M104" s="27" t="str">
        <x:v>未確認</x:v>
      </x:c>
      <x:c r="N104" s="27" t="str"/>
      <x:c r="O104" s="27" t="str"/>
      <x:c r="P104" s="27" t="str"/>
      <x:c r="Q104" s="36" t="n">
        <x:f>'テスト設定'!$B$2</x:f>
        <x:v>46298</x:v>
      </x:c>
      <x:c r="R104" s="36" t="n">
        <x:f>'テスト設定'!$B$2</x:f>
        <x:v>46298</x:v>
      </x:c>
      <x:c r="S104" s="36" t="n">
        <x:f>IF(F104="","",IF(ISNUMBER(F104),F104+'テスト設定'!$B$6,F104))</x:f>
        <x:v>46304.62430555555</x:v>
      </x:c>
      <x:c r="T104" s="36" t="n">
        <x:f>IF(S104="","",S104)</x:f>
        <x:v>46304.62430555555</x:v>
      </x:c>
    </x:row>
    <x:row r="105" ht="34" customHeight="1">
      <x:c r="A105" s="27" t="n">
        <x:v>46274.166666666664</x:v>
      </x:c>
      <x:c r="B105" s="27" t="str">
        <x:v>SIM-INCA-104</x:v>
      </x:c>
      <x:c r="C105" s="27" t="str">
        <x:v>inCampus</x:v>
      </x:c>
      <x:c r="D105" s="27" t="str">
        <x:v>サンプル情報設計</x:v>
      </x:c>
      <x:c r="E105" s="27" t="str">
        <x:v>仮想お知らせ-104</x:v>
      </x:c>
      <x:c r="F105" s="27" t="str"/>
      <x:c r="G105" s="27" t="str">
        <x:v>期限未検出・要確認</x:v>
      </x:c>
      <x:c r="H105" s="27" t="str">
        <x:v>新しいお知らせ: 仮想お知らせ-104</x:v>
      </x:c>
      <x:c r="I105" s="27" t="str">
        <x:v>架空担当C &lt;fixture-104@example.invalid&gt;</x:v>
      </x:c>
      <x:c r="J105" s="27" t="n">
        <x:v>46274</x:v>
      </x:c>
      <x:c r="K105" s="27" t="str">
        <x:v>https://mail.example.invalid/thread/SIM-INCA-104</x:v>
      </x:c>
      <x:c r="L105" s="28" t="str">
        <x:v>履修者：SIM-000104
曜日・時限：金曜2限
授業名：サンプル情報設計
教員名：架空担当C
更新内容：
・お知らせ（仮想お知らせ-104）が追加されました。（2026/09/10 08:00）
参照：https://portal.example.invalid/demo/SIM-INCA-104</x:v>
      </x:c>
      <x:c r="M105" s="27" t="str">
        <x:v>未確認</x:v>
      </x:c>
      <x:c r="N105" s="27" t="str"/>
      <x:c r="O105" s="27" t="str"/>
      <x:c r="P105" s="27" t="str"/>
      <x:c r="Q105" s="36" t="n">
        <x:f>'テスト設定'!$B$2</x:f>
        <x:v>46298</x:v>
      </x:c>
      <x:c r="R105" s="36" t="n">
        <x:f>'テスト設定'!$B$2</x:f>
        <x:v>46298</x:v>
      </x:c>
      <x:c r="S105" s="36" t="str">
        <x:f>IF(F105="","",IF(ISNUMBER(F105),F105+'テスト設定'!$B$6,F105))</x:f>
      </x:c>
      <x:c r="T105" s="36" t="str">
        <x:f>IF(S105="","",S105)</x:f>
      </x:c>
    </x:row>
    <x:row r="106" ht="34" customHeight="1">
      <x:c r="A106" s="27" t="n">
        <x:v>46274.208333333336</x:v>
      </x:c>
      <x:c r="B106" s="27" t="str">
        <x:v>SIM-INCA-105</x:v>
      </x:c>
      <x:c r="C106" s="27" t="str">
        <x:v>inCampus</x:v>
      </x:c>
      <x:c r="D106" s="27" t="str">
        <x:v>架空データ解析</x:v>
      </x:c>
      <x:c r="E106" s="27" t="str">
        <x:v>仮想課題-105</x:v>
      </x:c>
      <x:c r="F106" s="27" t="n">
        <x:v>46283.62430555555</x:v>
      </x:c>
      <x:c r="G106" s="27" t="str">
        <x:v>期限検出</x:v>
      </x:c>
      <x:c r="H106" s="27" t="str">
        <x:v>新しい課題: 仮想課題-105</x:v>
      </x:c>
      <x:c r="I106" s="27" t="str">
        <x:v>架空担当A &lt;fixture-105@example.invalid&gt;</x:v>
      </x:c>
      <x:c r="J106" s="27" t="n">
        <x:v>46274.041666666664</x:v>
      </x:c>
      <x:c r="K106" s="27" t="str">
        <x:v>https://mail.example.invalid/thread/SIM-INCA-105</x:v>
      </x:c>
      <x:c r="L106" s="28" t="str">
        <x:v>履修者：SIM-000105
曜日・時限：月曜1限
授業名：架空データ解析
教員名：架空担当A
更新内容：
・課題（仮想課題-105）が追加されました。（2026/09/10 08:00）
参照：https://portal.example.invalid/demo/SIM-INCA-105</x:v>
      </x:c>
      <x:c r="M106" s="27" t="str">
        <x:v>未確認</x:v>
      </x:c>
      <x:c r="N106" s="27" t="str"/>
      <x:c r="O106" s="27" t="str"/>
      <x:c r="P106" s="27" t="str"/>
      <x:c r="Q106" s="36" t="n">
        <x:f>'テスト設定'!$B$2</x:f>
        <x:v>46298</x:v>
      </x:c>
      <x:c r="R106" s="36" t="n">
        <x:f>'テスト設定'!$B$2</x:f>
        <x:v>46298</x:v>
      </x:c>
      <x:c r="S106" s="36" t="n">
        <x:f>IF(F106="","",IF(ISNUMBER(F106),F106+'テスト設定'!$B$6,F106))</x:f>
        <x:v>46306.62430555555</x:v>
      </x:c>
      <x:c r="T106" s="36" t="n">
        <x:f>IF(S106="","",S106)</x:f>
        <x:v>46306.62430555555</x:v>
      </x:c>
    </x:row>
    <x:row r="107" ht="34" customHeight="1">
      <x:c r="A107" s="27" t="n">
        <x:v>46274.25</x:v>
      </x:c>
      <x:c r="B107" s="27" t="str">
        <x:v>SIM-INCA-106</x:v>
      </x:c>
      <x:c r="C107" s="27" t="str">
        <x:v>inCampus</x:v>
      </x:c>
      <x:c r="D107" s="27" t="str">
        <x:v>仮想心理演習</x:v>
      </x:c>
      <x:c r="E107" s="27" t="str">
        <x:v>仮想課題-106</x:v>
      </x:c>
      <x:c r="F107" s="27" t="n">
        <x:v>46284.62430555555</x:v>
      </x:c>
      <x:c r="G107" s="27" t="str">
        <x:v>期限検出</x:v>
      </x:c>
      <x:c r="H107" s="27" t="str">
        <x:v>新しい課題: 仮想課題-106</x:v>
      </x:c>
      <x:c r="I107" s="27" t="str">
        <x:v>架空担当B &lt;fixture-106@example.invalid&gt;</x:v>
      </x:c>
      <x:c r="J107" s="27" t="n">
        <x:v>46274.083333333336</x:v>
      </x:c>
      <x:c r="K107" s="27" t="str">
        <x:v>https://mail.example.invalid/thread/SIM-INCA-106</x:v>
      </x:c>
      <x:c r="L107" s="28" t="str">
        <x:v>履修者：SIM-000106
曜日・時限：火曜3限
授業名：仮想心理演習
教員名：架空担当B
更新内容：
・課題（仮想課題-106）が追加されました。（2026/09/10 08:00）
参照：https://portal.example.invalid/demo/SIM-INCA-106</x:v>
      </x:c>
      <x:c r="M107" s="27" t="str">
        <x:v>未確認</x:v>
      </x:c>
      <x:c r="N107" s="27" t="str"/>
      <x:c r="O107" s="27" t="str"/>
      <x:c r="P107" s="27" t="str"/>
      <x:c r="Q107" s="36" t="n">
        <x:f>'テスト設定'!$B$2</x:f>
        <x:v>46298</x:v>
      </x:c>
      <x:c r="R107" s="36" t="n">
        <x:f>'テスト設定'!$B$2</x:f>
        <x:v>46298</x:v>
      </x:c>
      <x:c r="S107" s="36" t="n">
        <x:f>IF(F107="","",IF(ISNUMBER(F107),F107+'テスト設定'!$B$6,F107))</x:f>
        <x:v>46307.62430555555</x:v>
      </x:c>
      <x:c r="T107" s="36" t="n">
        <x:f>IF(S107="","",S107)</x:f>
        <x:v>46307.62430555555</x:v>
      </x:c>
    </x:row>
    <x:row r="108" ht="34" customHeight="1">
      <x:c r="A108" s="27" t="n">
        <x:v>46274.291666666664</x:v>
      </x:c>
      <x:c r="B108" s="27" t="str">
        <x:v>SIM-INCA-107</x:v>
      </x:c>
      <x:c r="C108" s="27" t="str">
        <x:v>inCampus</x:v>
      </x:c>
      <x:c r="D108" s="27" t="str">
        <x:v>サンプル情報設計</x:v>
      </x:c>
      <x:c r="E108" s="27" t="str">
        <x:v>仮想課題-107</x:v>
      </x:c>
      <x:c r="F108" s="27" t="n">
        <x:v>46285.62430555555</x:v>
      </x:c>
      <x:c r="G108" s="27" t="str">
        <x:v>期限検出</x:v>
      </x:c>
      <x:c r="H108" s="27" t="str">
        <x:v>新しい課題: 仮想課題-107</x:v>
      </x:c>
      <x:c r="I108" s="27" t="str">
        <x:v>架空担当C &lt;fixture-107@example.invalid&gt;</x:v>
      </x:c>
      <x:c r="J108" s="27" t="n">
        <x:v>46274.125</x:v>
      </x:c>
      <x:c r="K108" s="27" t="str">
        <x:v>https://mail.example.invalid/thread/SIM-INCA-107</x:v>
      </x:c>
      <x:c r="L108" s="28" t="str">
        <x:v>履修者：SIM-000107
曜日・時限：金曜2限
授業名：サンプル情報設計
教員名：架空担当C
更新内容：
・課題（仮想課題-107）が追加されました。（2026/09/10 08:00）
参照：https://portal.example.invalid/demo/SIM-INCA-107</x:v>
      </x:c>
      <x:c r="M108" s="27" t="str">
        <x:v>未確認</x:v>
      </x:c>
      <x:c r="N108" s="27" t="str"/>
      <x:c r="O108" s="27" t="str"/>
      <x:c r="P108" s="27" t="str"/>
      <x:c r="Q108" s="36" t="n">
        <x:f>'テスト設定'!$B$2</x:f>
        <x:v>46298</x:v>
      </x:c>
      <x:c r="R108" s="36" t="n">
        <x:f>'テスト設定'!$B$2</x:f>
        <x:v>46298</x:v>
      </x:c>
      <x:c r="S108" s="36" t="n">
        <x:f>IF(F108="","",IF(ISNUMBER(F108),F108+'テスト設定'!$B$6,F108))</x:f>
        <x:v>46308.62430555555</x:v>
      </x:c>
      <x:c r="T108" s="36" t="n">
        <x:f>IF(S108="","",S108)</x:f>
        <x:v>46308.62430555555</x:v>
      </x:c>
    </x:row>
    <x:row r="109" ht="34" customHeight="1">
      <x:c r="A109" s="27" t="n">
        <x:v>46273.958333333336</x:v>
      </x:c>
      <x:c r="B109" s="27" t="str">
        <x:v>SIM-INCA-108</x:v>
      </x:c>
      <x:c r="C109" s="27" t="str">
        <x:v>inCampus</x:v>
      </x:c>
      <x:c r="D109" s="27" t="str">
        <x:v>架空データ解析</x:v>
      </x:c>
      <x:c r="E109" s="27" t="str">
        <x:v>仮想課題-108</x:v>
      </x:c>
      <x:c r="F109" s="27" t="n">
        <x:v>46268.62430555555</x:v>
      </x:c>
      <x:c r="G109" s="27" t="str">
        <x:v>期限検出</x:v>
      </x:c>
      <x:c r="H109" s="27" t="str">
        <x:v>新しい課題: 仮想課題-108</x:v>
      </x:c>
      <x:c r="I109" s="27" t="str">
        <x:v>架空担当A &lt;fixture-108@example.invalid&gt;</x:v>
      </x:c>
      <x:c r="J109" s="27" t="n">
        <x:v>46274.166666666664</x:v>
      </x:c>
      <x:c r="K109" s="27" t="str">
        <x:v>https://mail.example.invalid/thread/SIM-INCA-108</x:v>
      </x:c>
      <x:c r="L109" s="28" t="str">
        <x:v>履修者：SIM-000108
曜日・時限：月曜1限
授業名：架空データ解析
教員名：架空担当A
更新内容：
・課題（仮想課題-108）が追加されました。（2026/09/10 08:00）
参照：https://portal.example.invalid/demo/SIM-INCA-108</x:v>
      </x:c>
      <x:c r="M109" s="27" t="str">
        <x:v>未確認</x:v>
      </x:c>
      <x:c r="N109" s="27" t="str"/>
      <x:c r="O109" s="27" t="str"/>
      <x:c r="P109" s="27" t="str"/>
      <x:c r="Q109" s="36" t="n">
        <x:f>'テスト設定'!$B$2</x:f>
        <x:v>46298</x:v>
      </x:c>
      <x:c r="R109" s="36" t="n">
        <x:f>'テスト設定'!$B$2</x:f>
        <x:v>46298</x:v>
      </x:c>
      <x:c r="S109" s="36" t="n">
        <x:f>IF(F109="","",IF(ISNUMBER(F109),F109+'テスト設定'!$B$6,F109))</x:f>
        <x:v>46291.62430555555</x:v>
      </x:c>
      <x:c r="T109" s="36" t="n">
        <x:f>IF(S109="","",S109)</x:f>
        <x:v>46291.62430555555</x:v>
      </x:c>
    </x:row>
    <x:row r="110" ht="34" customHeight="1">
      <x:c r="A110" s="27" t="n">
        <x:v>46274</x:v>
      </x:c>
      <x:c r="B110" s="27" t="str">
        <x:v>SIM-INCA-109</x:v>
      </x:c>
      <x:c r="C110" s="27" t="str">
        <x:v>inCampus</x:v>
      </x:c>
      <x:c r="D110" s="27" t="str">
        <x:v>仮想心理演習</x:v>
      </x:c>
      <x:c r="E110" s="27" t="str">
        <x:v>仮想課題-109</x:v>
      </x:c>
      <x:c r="F110" s="27" t="n">
        <x:v>46269.62430555555</x:v>
      </x:c>
      <x:c r="G110" s="27" t="str">
        <x:v>期限検出</x:v>
      </x:c>
      <x:c r="H110" s="27" t="str">
        <x:v>新しい課題: 仮想課題-109</x:v>
      </x:c>
      <x:c r="I110" s="27" t="str">
        <x:v>架空担当B &lt;fixture-109@example.invalid&gt;</x:v>
      </x:c>
      <x:c r="J110" s="27" t="n">
        <x:v>46274.208333333336</x:v>
      </x:c>
      <x:c r="K110" s="27" t="str">
        <x:v>https://mail.example.invalid/thread/SIM-INCA-109</x:v>
      </x:c>
      <x:c r="L110" s="28" t="str">
        <x:v>履修者：SIM-000109
曜日・時限：火曜3限
授業名：仮想心理演習
教員名：架空担当B
更新内容：
・課題（仮想課題-109）が追加されました。（2026/09/10 08:00）
参照：https://portal.example.invalid/demo/SIM-INCA-109</x:v>
      </x:c>
      <x:c r="M110" s="27" t="str">
        <x:v>未確認</x:v>
      </x:c>
      <x:c r="N110" s="27" t="str"/>
      <x:c r="O110" s="27" t="str"/>
      <x:c r="P110" s="27" t="str"/>
      <x:c r="Q110" s="36" t="n">
        <x:f>'テスト設定'!$B$2</x:f>
        <x:v>46298</x:v>
      </x:c>
      <x:c r="R110" s="36" t="n">
        <x:f>'テスト設定'!$B$2</x:f>
        <x:v>46298</x:v>
      </x:c>
      <x:c r="S110" s="36" t="n">
        <x:f>IF(F110="","",IF(ISNUMBER(F110),F110+'テスト設定'!$B$6,F110))</x:f>
        <x:v>46292.62430555555</x:v>
      </x:c>
      <x:c r="T110" s="36" t="n">
        <x:f>IF(S110="","",S110)</x:f>
        <x:v>46292.62430555555</x:v>
      </x:c>
    </x:row>
    <x:row r="111" ht="34" customHeight="1">
      <x:c r="A111" s="27" t="n">
        <x:v>46274.041666666664</x:v>
      </x:c>
      <x:c r="B111" s="27" t="str">
        <x:v>SIM-INCA-110</x:v>
      </x:c>
      <x:c r="C111" s="27" t="str">
        <x:v>inCampus</x:v>
      </x:c>
      <x:c r="D111" s="27" t="str">
        <x:v>サンプル情報設計</x:v>
      </x:c>
      <x:c r="E111" s="27" t="str">
        <x:v>仮想課題-110</x:v>
      </x:c>
      <x:c r="F111" s="27" t="n">
        <x:v>46270.62430555555</x:v>
      </x:c>
      <x:c r="G111" s="27" t="str">
        <x:v>期限検出</x:v>
      </x:c>
      <x:c r="H111" s="27" t="str">
        <x:v>新しい課題: 仮想課題-110</x:v>
      </x:c>
      <x:c r="I111" s="27" t="str">
        <x:v>架空担当C &lt;fixture-110@example.invalid&gt;</x:v>
      </x:c>
      <x:c r="J111" s="27" t="n">
        <x:v>46274.25</x:v>
      </x:c>
      <x:c r="K111" s="27" t="str">
        <x:v>https://mail.example.invalid/thread/SIM-INCA-110</x:v>
      </x:c>
      <x:c r="L111" s="28" t="str">
        <x:v>履修者：SIM-000110
曜日・時限：金曜2限
授業名：サンプル情報設計
教員名：架空担当C
更新内容：
・課題（仮想課題-110）が追加されました。（2026/09/10 08:00）
参照：https://portal.example.invalid/demo/SIM-INCA-110</x:v>
      </x:c>
      <x:c r="M111" s="27" t="str">
        <x:v>未確認</x:v>
      </x:c>
      <x:c r="N111" s="27" t="str"/>
      <x:c r="O111" s="27" t="str"/>
      <x:c r="P111" s="27" t="str"/>
      <x:c r="Q111" s="36" t="n">
        <x:f>'テスト設定'!$B$2</x:f>
        <x:v>46298</x:v>
      </x:c>
      <x:c r="R111" s="36" t="n">
        <x:f>'テスト設定'!$B$2</x:f>
        <x:v>46298</x:v>
      </x:c>
      <x:c r="S111" s="36" t="n">
        <x:f>IF(F111="","",IF(ISNUMBER(F111),F111+'テスト設定'!$B$6,F111))</x:f>
        <x:v>46293.62430555555</x:v>
      </x:c>
      <x:c r="T111" s="36" t="n">
        <x:f>IF(S111="","",S111)</x:f>
        <x:v>46293.62430555555</x:v>
      </x:c>
    </x:row>
    <x:row r="112" ht="34" customHeight="1">
      <x:c r="A112" s="27" t="n">
        <x:v>46274.083333333336</x:v>
      </x:c>
      <x:c r="B112" s="27" t="str">
        <x:v>SIM-INCA-111</x:v>
      </x:c>
      <x:c r="C112" s="27" t="str">
        <x:v>inCampus</x:v>
      </x:c>
      <x:c r="D112" s="27" t="str">
        <x:v>架空データ解析</x:v>
      </x:c>
      <x:c r="E112" s="27" t="str">
        <x:v>仮想課題-111</x:v>
      </x:c>
      <x:c r="F112" s="27" t="n">
        <x:v>46271.62430555555</x:v>
      </x:c>
      <x:c r="G112" s="27" t="str">
        <x:v>期限検出</x:v>
      </x:c>
      <x:c r="H112" s="27" t="str">
        <x:v>新しい課題: 仮想課題-111</x:v>
      </x:c>
      <x:c r="I112" s="27" t="str">
        <x:v>架空担当A &lt;fixture-111@example.invalid&gt;</x:v>
      </x:c>
      <x:c r="J112" s="27" t="n">
        <x:v>46274.291666666664</x:v>
      </x:c>
      <x:c r="K112" s="27" t="str">
        <x:v>https://mail.example.invalid/thread/SIM-INCA-111</x:v>
      </x:c>
      <x:c r="L112" s="28" t="str">
        <x:v>履修者：SIM-000111
曜日・時限：月曜1限
授業名：架空データ解析
教員名：架空担当A
更新内容：
・課題（仮想課題-111）が追加されました。（2026/09/10 08:00）
参照：https://portal.example.invalid/demo/SIM-INCA-111</x:v>
      </x:c>
      <x:c r="M112" s="27" t="str">
        <x:v>未確認</x:v>
      </x:c>
      <x:c r="N112" s="27" t="str"/>
      <x:c r="O112" s="27" t="str"/>
      <x:c r="P112" s="27" t="str"/>
      <x:c r="Q112" s="36" t="n">
        <x:f>'テスト設定'!$B$2</x:f>
        <x:v>46298</x:v>
      </x:c>
      <x:c r="R112" s="36" t="n">
        <x:f>'テスト設定'!$B$2</x:f>
        <x:v>46298</x:v>
      </x:c>
      <x:c r="S112" s="36" t="n">
        <x:f>IF(F112="","",IF(ISNUMBER(F112),F112+'テスト設定'!$B$6,F112))</x:f>
        <x:v>46294.62430555555</x:v>
      </x:c>
      <x:c r="T112" s="36" t="n">
        <x:f>IF(S112="","",S112)</x:f>
        <x:v>46294.62430555555</x:v>
      </x:c>
    </x:row>
    <x:row r="113" ht="34" customHeight="1">
      <x:c r="A113" s="27" t="n">
        <x:v>46274.125</x:v>
      </x:c>
      <x:c r="B113" s="27" t="str">
        <x:v>SIM-INCA-112</x:v>
      </x:c>
      <x:c r="C113" s="27" t="str">
        <x:v>inCampus</x:v>
      </x:c>
      <x:c r="D113" s="27" t="str">
        <x:v>仮想心理演習</x:v>
      </x:c>
      <x:c r="E113" s="27" t="str">
        <x:v>仮想課題-112</x:v>
      </x:c>
      <x:c r="F113" s="27" t="n">
        <x:v>46272.62430555555</x:v>
      </x:c>
      <x:c r="G113" s="27" t="str">
        <x:v>期限検出</x:v>
      </x:c>
      <x:c r="H113" s="27" t="str">
        <x:v>新しい課題: 仮想課題-112</x:v>
      </x:c>
      <x:c r="I113" s="27" t="str">
        <x:v>架空担当B &lt;fixture-112@example.invalid&gt;</x:v>
      </x:c>
      <x:c r="J113" s="27" t="n">
        <x:v>46274</x:v>
      </x:c>
      <x:c r="K113" s="27" t="str">
        <x:v>https://mail.example.invalid/thread/SIM-INCA-112</x:v>
      </x:c>
      <x:c r="L113" s="28" t="str">
        <x:v>履修者：SIM-000112
曜日・時限：火曜3限
授業名：仮想心理演習
教員名：架空担当B
更新内容：
・課題（仮想課題-112）が追加されました。（2026/09/10 08:00）
参照：https://portal.example.invalid/demo/SIM-INCA-112</x:v>
      </x:c>
      <x:c r="M113" s="27" t="str">
        <x:v>未確認</x:v>
      </x:c>
      <x:c r="N113" s="27" t="str"/>
      <x:c r="O113" s="27" t="str"/>
      <x:c r="P113" s="27" t="str"/>
      <x:c r="Q113" s="36" t="n">
        <x:f>'テスト設定'!$B$2</x:f>
        <x:v>46298</x:v>
      </x:c>
      <x:c r="R113" s="36" t="n">
        <x:f>'テスト設定'!$B$2</x:f>
        <x:v>46298</x:v>
      </x:c>
      <x:c r="S113" s="36" t="n">
        <x:f>IF(F113="","",IF(ISNUMBER(F113),F113+'テスト設定'!$B$6,F113))</x:f>
        <x:v>46295.62430555555</x:v>
      </x:c>
      <x:c r="T113" s="36" t="n">
        <x:f>IF(S113="","",S113)</x:f>
        <x:v>46295.62430555555</x:v>
      </x:c>
    </x:row>
    <x:row r="114" ht="34" customHeight="1">
      <x:c r="A114" s="27" t="n">
        <x:v>46274.166666666664</x:v>
      </x:c>
      <x:c r="B114" s="27" t="str">
        <x:v>SIM-INCA-113</x:v>
      </x:c>
      <x:c r="C114" s="27" t="str">
        <x:v>inCampus</x:v>
      </x:c>
      <x:c r="D114" s="27" t="str">
        <x:v>サンプル情報設計</x:v>
      </x:c>
      <x:c r="E114" s="27" t="str">
        <x:v>仮想課題-113</x:v>
      </x:c>
      <x:c r="F114" s="27" t="n">
        <x:v>46273.62430555555</x:v>
      </x:c>
      <x:c r="G114" s="27" t="str">
        <x:v>期限検出</x:v>
      </x:c>
      <x:c r="H114" s="27" t="str">
        <x:v>新しい課題: 仮想課題-113</x:v>
      </x:c>
      <x:c r="I114" s="27" t="str">
        <x:v>架空担当C &lt;fixture-113@example.invalid&gt;</x:v>
      </x:c>
      <x:c r="J114" s="27" t="n">
        <x:v>46274.041666666664</x:v>
      </x:c>
      <x:c r="K114" s="27" t="str">
        <x:v>https://mail.example.invalid/thread/SIM-INCA-113</x:v>
      </x:c>
      <x:c r="L114" s="28" t="str">
        <x:v>履修者：SIM-000113
曜日・時限：金曜2限
授業名：サンプル情報設計
教員名：架空担当C
更新内容：
・課題（仮想課題-113）が追加されました。（2026/09/10 08:00）
参照：https://portal.example.invalid/demo/SIM-INCA-113</x:v>
      </x:c>
      <x:c r="M114" s="27" t="str">
        <x:v>未確認</x:v>
      </x:c>
      <x:c r="N114" s="27" t="str"/>
      <x:c r="O114" s="27" t="str"/>
      <x:c r="P114" s="27" t="str"/>
      <x:c r="Q114" s="36" t="n">
        <x:f>'テスト設定'!$B$2</x:f>
        <x:v>46298</x:v>
      </x:c>
      <x:c r="R114" s="36" t="n">
        <x:f>'テスト設定'!$B$2</x:f>
        <x:v>46298</x:v>
      </x:c>
      <x:c r="S114" s="36" t="n">
        <x:f>IF(F114="","",IF(ISNUMBER(F114),F114+'テスト設定'!$B$6,F114))</x:f>
        <x:v>46296.62430555555</x:v>
      </x:c>
      <x:c r="T114" s="36" t="n">
        <x:f>IF(S114="","",S114)</x:f>
        <x:v>46296.62430555555</x:v>
      </x:c>
    </x:row>
    <x:row r="115" ht="34" customHeight="1">
      <x:c r="A115" s="27" t="n">
        <x:v>46274.208333333336</x:v>
      </x:c>
      <x:c r="B115" s="27" t="str">
        <x:v>SIM-INCA-114</x:v>
      </x:c>
      <x:c r="C115" s="27" t="str">
        <x:v>inCampus</x:v>
      </x:c>
      <x:c r="D115" s="27" t="str">
        <x:v>架空データ解析</x:v>
      </x:c>
      <x:c r="E115" s="27" t="str">
        <x:v>仮想課題-114</x:v>
      </x:c>
      <x:c r="F115" s="27" t="n">
        <x:v>46274.62430555555</x:v>
      </x:c>
      <x:c r="G115" s="27" t="str">
        <x:v>期限検出</x:v>
      </x:c>
      <x:c r="H115" s="27" t="str">
        <x:v>新しい課題: 仮想課題-114</x:v>
      </x:c>
      <x:c r="I115" s="27" t="str">
        <x:v>架空担当A &lt;fixture-114@example.invalid&gt;</x:v>
      </x:c>
      <x:c r="J115" s="27" t="n">
        <x:v>46274.083333333336</x:v>
      </x:c>
      <x:c r="K115" s="27" t="str">
        <x:v>https://mail.example.invalid/thread/SIM-INCA-114</x:v>
      </x:c>
      <x:c r="L115" s="28" t="str">
        <x:v>履修者：SIM-000114
曜日・時限：月曜1限
授業名：架空データ解析
教員名：架空担当A
更新内容：
・課題（仮想課題-114）が追加されました。（2026/09/10 08:00）
参照：https://portal.example.invalid/demo/SIM-INCA-114</x:v>
      </x:c>
      <x:c r="M115" s="27" t="str">
        <x:v>未確認</x:v>
      </x:c>
      <x:c r="N115" s="27" t="str"/>
      <x:c r="O115" s="27" t="str"/>
      <x:c r="P115" s="27" t="str"/>
      <x:c r="Q115" s="36" t="n">
        <x:f>'テスト設定'!$B$2</x:f>
        <x:v>46298</x:v>
      </x:c>
      <x:c r="R115" s="36" t="n">
        <x:f>'テスト設定'!$B$2</x:f>
        <x:v>46298</x:v>
      </x:c>
      <x:c r="S115" s="36" t="n">
        <x:f>IF(F115="","",IF(ISNUMBER(F115),F115+'テスト設定'!$B$6,F115))</x:f>
        <x:v>46297.62430555555</x:v>
      </x:c>
      <x:c r="T115" s="36" t="n">
        <x:f>IF(S115="","",S115)</x:f>
        <x:v>46297.62430555555</x:v>
      </x:c>
    </x:row>
    <x:row r="116" ht="34" customHeight="1">
      <x:c r="A116" s="27" t="n">
        <x:v>46274.25</x:v>
      </x:c>
      <x:c r="B116" s="27" t="str">
        <x:v>SIM-INCA-115</x:v>
      </x:c>
      <x:c r="C116" s="27" t="str">
        <x:v>inCampus</x:v>
      </x:c>
      <x:c r="D116" s="27" t="str">
        <x:v>仮想心理演習</x:v>
      </x:c>
      <x:c r="E116" s="27" t="str">
        <x:v>仮想課題-115</x:v>
      </x:c>
      <x:c r="F116" s="27" t="n">
        <x:v>46275.62430555555</x:v>
      </x:c>
      <x:c r="G116" s="27" t="str">
        <x:v>期限検出</x:v>
      </x:c>
      <x:c r="H116" s="27" t="str">
        <x:v>新しい課題: 仮想課題-115</x:v>
      </x:c>
      <x:c r="I116" s="27" t="str">
        <x:v>架空担当B &lt;fixture-115@example.invalid&gt;</x:v>
      </x:c>
      <x:c r="J116" s="27" t="n">
        <x:v>46274.125</x:v>
      </x:c>
      <x:c r="K116" s="27" t="str">
        <x:v>https://mail.example.invalid/thread/SIM-INCA-115</x:v>
      </x:c>
      <x:c r="L116" s="28" t="str">
        <x:v>履修者：SIM-000115
曜日・時限：火曜3限
授業名：仮想心理演習
教員名：架空担当B
更新内容：
・課題（仮想課題-115）が追加されました。（2026/09/10 08:00）
参照：https://portal.example.invalid/demo/SIM-INCA-115</x:v>
      </x:c>
      <x:c r="M116" s="27" t="str">
        <x:v>未確認</x:v>
      </x:c>
      <x:c r="N116" s="27" t="str"/>
      <x:c r="O116" s="27" t="str"/>
      <x:c r="P116" s="27" t="str"/>
      <x:c r="Q116" s="36" t="n">
        <x:f>'テスト設定'!$B$2</x:f>
        <x:v>46298</x:v>
      </x:c>
      <x:c r="R116" s="36" t="n">
        <x:f>'テスト設定'!$B$2</x:f>
        <x:v>46298</x:v>
      </x:c>
      <x:c r="S116" s="36" t="n">
        <x:f>IF(F116="","",IF(ISNUMBER(F116),F116+'テスト設定'!$B$6,F116))</x:f>
        <x:v>46298.62430555555</x:v>
      </x:c>
      <x:c r="T116" s="36" t="n">
        <x:f>IF(S116="","",S116)</x:f>
        <x:v>46298.62430555555</x:v>
      </x:c>
    </x:row>
    <x:row r="117" ht="34" customHeight="1">
      <x:c r="A117" s="27" t="n">
        <x:v>46274.291666666664</x:v>
      </x:c>
      <x:c r="B117" s="27" t="str">
        <x:v>SIM-INCA-116</x:v>
      </x:c>
      <x:c r="C117" s="27" t="str">
        <x:v>inCampus</x:v>
      </x:c>
      <x:c r="D117" s="27" t="str">
        <x:v>サンプル情報設計</x:v>
      </x:c>
      <x:c r="E117" s="27" t="str">
        <x:v>仮想課題-116</x:v>
      </x:c>
      <x:c r="F117" s="27" t="n">
        <x:v>46276.62430555555</x:v>
      </x:c>
      <x:c r="G117" s="27" t="str">
        <x:v>期限検出</x:v>
      </x:c>
      <x:c r="H117" s="27" t="str">
        <x:v>新しい課題: 仮想課題-116</x:v>
      </x:c>
      <x:c r="I117" s="27" t="str">
        <x:v>架空担当C &lt;fixture-116@example.invalid&gt;</x:v>
      </x:c>
      <x:c r="J117" s="27" t="n">
        <x:v>46274.166666666664</x:v>
      </x:c>
      <x:c r="K117" s="27" t="str">
        <x:v>https://mail.example.invalid/thread/SIM-INCA-116</x:v>
      </x:c>
      <x:c r="L117" s="28" t="str">
        <x:v>履修者：SIM-000116
曜日・時限：金曜2限
授業名：サンプル情報設計
教員名：架空担当C
更新内容：
・課題（仮想課題-116）が追加されました。（2026/09/10 08:00）
参照：https://portal.example.invalid/demo/SIM-INCA-116</x:v>
      </x:c>
      <x:c r="M117" s="27" t="str">
        <x:v>未確認</x:v>
      </x:c>
      <x:c r="N117" s="27" t="str"/>
      <x:c r="O117" s="27" t="str"/>
      <x:c r="P117" s="27" t="str"/>
      <x:c r="Q117" s="36" t="n">
        <x:f>'テスト設定'!$B$2</x:f>
        <x:v>46298</x:v>
      </x:c>
      <x:c r="R117" s="36" t="n">
        <x:f>'テスト設定'!$B$2</x:f>
        <x:v>46298</x:v>
      </x:c>
      <x:c r="S117" s="36" t="n">
        <x:f>IF(F117="","",IF(ISNUMBER(F117),F117+'テスト設定'!$B$6,F117))</x:f>
        <x:v>46299.62430555555</x:v>
      </x:c>
      <x:c r="T117" s="36" t="n">
        <x:f>IF(S117="","",S117)</x:f>
        <x:v>46299.62430555555</x:v>
      </x:c>
    </x:row>
    <x:row r="118" ht="34" customHeight="1">
      <x:c r="A118" s="27" t="n">
        <x:v>46273.958333333336</x:v>
      </x:c>
      <x:c r="B118" s="27" t="str">
        <x:v>SIM-INCA-117</x:v>
      </x:c>
      <x:c r="C118" s="27" t="str">
        <x:v>inCampus</x:v>
      </x:c>
      <x:c r="D118" s="27" t="str">
        <x:v>架空データ解析</x:v>
      </x:c>
      <x:c r="E118" s="27" t="str">
        <x:v>仮想お知らせ-117</x:v>
      </x:c>
      <x:c r="F118" s="27" t="str"/>
      <x:c r="G118" s="27" t="str">
        <x:v>期限未検出・要確認</x:v>
      </x:c>
      <x:c r="H118" s="27" t="str">
        <x:v>新しいお知らせ: 仮想お知らせ-117</x:v>
      </x:c>
      <x:c r="I118" s="27" t="str">
        <x:v>架空担当A &lt;fixture-117@example.invalid&gt;</x:v>
      </x:c>
      <x:c r="J118" s="27" t="n">
        <x:v>46274.208333333336</x:v>
      </x:c>
      <x:c r="K118" s="27" t="str">
        <x:v>https://mail.example.invalid/thread/SIM-INCA-117</x:v>
      </x:c>
      <x:c r="L118" s="28" t="str">
        <x:v>履修者：SIM-000117
曜日・時限：月曜1限
授業名：架空データ解析
教員名：架空担当A
更新内容：
・お知らせ（仮想お知らせ-117）が追加されました。（2026/09/10 08:00）
参照：https://portal.example.invalid/demo/SIM-INCA-117</x:v>
      </x:c>
      <x:c r="M118" s="27" t="str">
        <x:v>未確認</x:v>
      </x:c>
      <x:c r="N118" s="27" t="str"/>
      <x:c r="O118" s="27" t="str"/>
      <x:c r="P118" s="27" t="str"/>
      <x:c r="Q118" s="36" t="n">
        <x:f>'テスト設定'!$B$2</x:f>
        <x:v>46298</x:v>
      </x:c>
      <x:c r="R118" s="36" t="n">
        <x:f>'テスト設定'!$B$2</x:f>
        <x:v>46298</x:v>
      </x:c>
      <x:c r="S118" s="36" t="str">
        <x:f>IF(F118="","",IF(ISNUMBER(F118),F118+'テスト設定'!$B$6,F118))</x:f>
      </x:c>
      <x:c r="T118" s="36" t="str">
        <x:f>IF(S118="","",S118)</x:f>
      </x:c>
    </x:row>
    <x:row r="119" ht="34" customHeight="1">
      <x:c r="A119" s="27" t="n">
        <x:v>46274</x:v>
      </x:c>
      <x:c r="B119" s="27" t="str">
        <x:v>SIM-INCA-118</x:v>
      </x:c>
      <x:c r="C119" s="27" t="str">
        <x:v>inCampus</x:v>
      </x:c>
      <x:c r="D119" s="27" t="str">
        <x:v>仮想心理演習</x:v>
      </x:c>
      <x:c r="E119" s="27" t="str">
        <x:v>仮想課題-118</x:v>
      </x:c>
      <x:c r="F119" s="27" t="n">
        <x:v>46278.62430555555</x:v>
      </x:c>
      <x:c r="G119" s="27" t="str">
        <x:v>期限検出</x:v>
      </x:c>
      <x:c r="H119" s="27" t="str">
        <x:v>新しい課題: 仮想課題-118</x:v>
      </x:c>
      <x:c r="I119" s="27" t="str">
        <x:v>架空担当B &lt;fixture-118@example.invalid&gt;</x:v>
      </x:c>
      <x:c r="J119" s="27" t="n">
        <x:v>46274.25</x:v>
      </x:c>
      <x:c r="K119" s="27" t="str">
        <x:v>https://mail.example.invalid/thread/SIM-INCA-118</x:v>
      </x:c>
      <x:c r="L119" s="28" t="str">
        <x:v>履修者：SIM-000118
曜日・時限：火曜3限
授業名：仮想心理演習
教員名：架空担当B
更新内容：
・課題（仮想課題-118）が追加されました。（2026/09/10 08:00）
参照：https://portal.example.invalid/demo/SIM-INCA-118</x:v>
      </x:c>
      <x:c r="M119" s="27" t="str">
        <x:v>未確認</x:v>
      </x:c>
      <x:c r="N119" s="27" t="str"/>
      <x:c r="O119" s="27" t="str"/>
      <x:c r="P119" s="27" t="str"/>
      <x:c r="Q119" s="36" t="n">
        <x:f>'テスト設定'!$B$2</x:f>
        <x:v>46298</x:v>
      </x:c>
      <x:c r="R119" s="36" t="n">
        <x:f>'テスト設定'!$B$2</x:f>
        <x:v>46298</x:v>
      </x:c>
      <x:c r="S119" s="36" t="n">
        <x:f>IF(F119="","",IF(ISNUMBER(F119),F119+'テスト設定'!$B$6,F119))</x:f>
        <x:v>46301.62430555555</x:v>
      </x:c>
      <x:c r="T119" s="36" t="n">
        <x:f>IF(S119="","",S119)</x:f>
        <x:v>46301.62430555555</x:v>
      </x:c>
    </x:row>
    <x:row r="120" ht="34" customHeight="1">
      <x:c r="A120" s="27" t="n">
        <x:v>46274.041666666664</x:v>
      </x:c>
      <x:c r="B120" s="27" t="str">
        <x:v>SIM-INCA-119</x:v>
      </x:c>
      <x:c r="C120" s="27" t="str">
        <x:v>inCampus</x:v>
      </x:c>
      <x:c r="D120" s="27" t="str">
        <x:v>サンプル情報設計</x:v>
      </x:c>
      <x:c r="E120" s="27" t="str">
        <x:v>仮想課題-119</x:v>
      </x:c>
      <x:c r="F120" s="27" t="n">
        <x:v>46279.62430555555</x:v>
      </x:c>
      <x:c r="G120" s="27" t="str">
        <x:v>期限検出</x:v>
      </x:c>
      <x:c r="H120" s="27" t="str">
        <x:v>新しい課題: 仮想課題-119</x:v>
      </x:c>
      <x:c r="I120" s="27" t="str">
        <x:v>架空担当C &lt;fixture-119@example.invalid&gt;</x:v>
      </x:c>
      <x:c r="J120" s="27" t="n">
        <x:v>46274.291666666664</x:v>
      </x:c>
      <x:c r="K120" s="27" t="str">
        <x:v>https://mail.example.invalid/thread/SIM-INCA-119</x:v>
      </x:c>
      <x:c r="L120" s="28" t="str">
        <x:v>履修者：SIM-000119
曜日・時限：金曜2限
授業名：サンプル情報設計
教員名：架空担当C
更新内容：
・課題（仮想課題-119）が追加されました。（2026/09/10 08:00）
参照：https://portal.example.invalid/demo/SIM-INCA-119</x:v>
      </x:c>
      <x:c r="M120" s="27" t="str">
        <x:v>未確認</x:v>
      </x:c>
      <x:c r="N120" s="27" t="str"/>
      <x:c r="O120" s="27" t="str"/>
      <x:c r="P120" s="27" t="str"/>
      <x:c r="Q120" s="36" t="n">
        <x:f>'テスト設定'!$B$2</x:f>
        <x:v>46298</x:v>
      </x:c>
      <x:c r="R120" s="36" t="n">
        <x:f>'テスト設定'!$B$2</x:f>
        <x:v>46298</x:v>
      </x:c>
      <x:c r="S120" s="36" t="n">
        <x:f>IF(F120="","",IF(ISNUMBER(F120),F120+'テスト設定'!$B$6,F120))</x:f>
        <x:v>46302.62430555555</x:v>
      </x:c>
      <x:c r="T120" s="36" t="n">
        <x:f>IF(S120="","",S120)</x:f>
        <x:v>46302.62430555555</x:v>
      </x:c>
    </x:row>
    <x:row r="121" ht="34" customHeight="1">
      <x:c r="A121" s="27" t="n">
        <x:v>46274.083333333336</x:v>
      </x:c>
      <x:c r="B121" s="27" t="str">
        <x:v>SIM-INCA-120</x:v>
      </x:c>
      <x:c r="C121" s="27" t="str">
        <x:v>inCampus</x:v>
      </x:c>
      <x:c r="D121" s="27" t="str">
        <x:v>架空データ解析</x:v>
      </x:c>
      <x:c r="E121" s="27" t="str">
        <x:v>仮想課題-120</x:v>
      </x:c>
      <x:c r="F121" s="27" t="n">
        <x:v>46280.62430555555</x:v>
      </x:c>
      <x:c r="G121" s="27" t="str">
        <x:v>期限検出</x:v>
      </x:c>
      <x:c r="H121" s="27" t="str">
        <x:v>新しい課題: 仮想課題-120</x:v>
      </x:c>
      <x:c r="I121" s="27" t="str">
        <x:v>架空担当A &lt;fixture-120@example.invalid&gt;</x:v>
      </x:c>
      <x:c r="J121" s="27" t="n">
        <x:v>46274</x:v>
      </x:c>
      <x:c r="K121" s="27" t="str">
        <x:v>https://mail.example.invalid/thread/SIM-INCA-120</x:v>
      </x:c>
      <x:c r="L121" s="28" t="str">
        <x:v>履修者：SIM-000120
曜日・時限：月曜1限
授業名：架空データ解析
教員名：架空担当A
更新内容：
・課題（仮想課題-120）が追加されました。（2026/09/10 08:00）
参照：https://portal.example.invalid/demo/SIM-INCA-120</x:v>
      </x:c>
      <x:c r="M121" s="27" t="str">
        <x:v>未確認</x:v>
      </x:c>
      <x:c r="N121" s="27" t="str"/>
      <x:c r="O121" s="27" t="str"/>
      <x:c r="P121" s="27" t="str"/>
      <x:c r="Q121" s="36" t="n">
        <x:f>'テスト設定'!$B$2</x:f>
        <x:v>46298</x:v>
      </x:c>
      <x:c r="R121" s="36" t="n">
        <x:f>'テスト設定'!$B$2</x:f>
        <x:v>46298</x:v>
      </x:c>
      <x:c r="S121" s="36" t="n">
        <x:f>IF(F121="","",IF(ISNUMBER(F121),F121+'テスト設定'!$B$6,F121))</x:f>
        <x:v>46303.62430555555</x:v>
      </x:c>
      <x:c r="T121" s="36" t="n">
        <x:f>IF(S121="","",S121)</x:f>
        <x:v>46303.62430555555</x:v>
      </x:c>
    </x:row>
    <x:row r="122" ht="34" customHeight="1">
      <x:c r="A122" s="27" t="n">
        <x:v>46274.125</x:v>
      </x:c>
      <x:c r="B122" s="27" t="str">
        <x:v>SIM-INCA-121</x:v>
      </x:c>
      <x:c r="C122" s="27" t="str">
        <x:v>inCampus</x:v>
      </x:c>
      <x:c r="D122" s="27" t="str">
        <x:v>仮想心理演習</x:v>
      </x:c>
      <x:c r="E122" s="27" t="str">
        <x:v>仮想課題-121</x:v>
      </x:c>
      <x:c r="F122" s="27" t="n">
        <x:v>46281.62430555555</x:v>
      </x:c>
      <x:c r="G122" s="27" t="str">
        <x:v>期限検出</x:v>
      </x:c>
      <x:c r="H122" s="27" t="str">
        <x:v>新しい課題: 仮想課題-121</x:v>
      </x:c>
      <x:c r="I122" s="27" t="str">
        <x:v>架空担当B &lt;fixture-121@example.invalid&gt;</x:v>
      </x:c>
      <x:c r="J122" s="27" t="n">
        <x:v>46274.041666666664</x:v>
      </x:c>
      <x:c r="K122" s="27" t="str">
        <x:v>https://mail.example.invalid/thread/SIM-INCA-121</x:v>
      </x:c>
      <x:c r="L122" s="28" t="str">
        <x:v>履修者：SIM-000121
曜日・時限：火曜3限
授業名：仮想心理演習
教員名：架空担当B
更新内容：
・課題（仮想課題-121）が追加されました。（2026/09/10 08:00）
参照：https://portal.example.invalid/demo/SIM-INCA-121</x:v>
      </x:c>
      <x:c r="M122" s="27" t="str">
        <x:v>未確認</x:v>
      </x:c>
      <x:c r="N122" s="27" t="str"/>
      <x:c r="O122" s="27" t="str"/>
      <x:c r="P122" s="27" t="str"/>
      <x:c r="Q122" s="36" t="n">
        <x:f>'テスト設定'!$B$2</x:f>
        <x:v>46298</x:v>
      </x:c>
      <x:c r="R122" s="36" t="n">
        <x:f>'テスト設定'!$B$2</x:f>
        <x:v>46298</x:v>
      </x:c>
      <x:c r="S122" s="36" t="n">
        <x:f>IF(F122="","",IF(ISNUMBER(F122),F122+'テスト設定'!$B$6,F122))</x:f>
        <x:v>46304.62430555555</x:v>
      </x:c>
      <x:c r="T122" s="36" t="n">
        <x:f>IF(S122="","",S122)</x:f>
        <x:v>46304.62430555555</x:v>
      </x:c>
    </x:row>
    <x:row r="123" ht="34" customHeight="1">
      <x:c r="A123" s="27" t="n">
        <x:v>46274.166666666664</x:v>
      </x:c>
      <x:c r="B123" s="27" t="str">
        <x:v>SIM-INCA-122</x:v>
      </x:c>
      <x:c r="C123" s="27" t="str">
        <x:v>inCampus</x:v>
      </x:c>
      <x:c r="D123" s="27" t="str">
        <x:v>サンプル情報設計</x:v>
      </x:c>
      <x:c r="E123" s="27" t="str">
        <x:v>仮想課題-122</x:v>
      </x:c>
      <x:c r="F123" s="27" t="n">
        <x:v>46282.62430555555</x:v>
      </x:c>
      <x:c r="G123" s="27" t="str">
        <x:v>期限検出</x:v>
      </x:c>
      <x:c r="H123" s="27" t="str">
        <x:v>新しい課題: 仮想課題-122</x:v>
      </x:c>
      <x:c r="I123" s="27" t="str">
        <x:v>架空担当C &lt;fixture-122@example.invalid&gt;</x:v>
      </x:c>
      <x:c r="J123" s="27" t="n">
        <x:v>46274.083333333336</x:v>
      </x:c>
      <x:c r="K123" s="27" t="str">
        <x:v>https://mail.example.invalid/thread/SIM-INCA-122</x:v>
      </x:c>
      <x:c r="L123" s="28" t="str">
        <x:v>履修者：SIM-000122
曜日・時限：金曜2限
授業名：サンプル情報設計
教員名：架空担当C
更新内容：
・課題（仮想課題-122）が追加されました。（2026/09/10 08:00）
参照：https://portal.example.invalid/demo/SIM-INCA-122</x:v>
      </x:c>
      <x:c r="M123" s="27" t="str">
        <x:v>未確認</x:v>
      </x:c>
      <x:c r="N123" s="27" t="str"/>
      <x:c r="O123" s="27" t="str"/>
      <x:c r="P123" s="27" t="str"/>
      <x:c r="Q123" s="36" t="n">
        <x:f>'テスト設定'!$B$2</x:f>
        <x:v>46298</x:v>
      </x:c>
      <x:c r="R123" s="36" t="n">
        <x:f>'テスト設定'!$B$2</x:f>
        <x:v>46298</x:v>
      </x:c>
      <x:c r="S123" s="36" t="n">
        <x:f>IF(F123="","",IF(ISNUMBER(F123),F123+'テスト設定'!$B$6,F123))</x:f>
        <x:v>46305.62430555555</x:v>
      </x:c>
      <x:c r="T123" s="36" t="n">
        <x:f>IF(S123="","",S123)</x:f>
        <x:v>46305.62430555555</x:v>
      </x:c>
    </x:row>
    <x:row r="124" ht="34" customHeight="1">
      <x:c r="A124" s="27" t="n">
        <x:v>46274.208333333336</x:v>
      </x:c>
      <x:c r="B124" s="27" t="str">
        <x:v>SIM-INCA-123</x:v>
      </x:c>
      <x:c r="C124" s="27" t="str">
        <x:v>inCampus</x:v>
      </x:c>
      <x:c r="D124" s="27" t="str">
        <x:v>架空データ解析</x:v>
      </x:c>
      <x:c r="E124" s="27" t="str">
        <x:v>仮想課題-123</x:v>
      </x:c>
      <x:c r="F124" s="27" t="n">
        <x:v>46283.62430555555</x:v>
      </x:c>
      <x:c r="G124" s="27" t="str">
        <x:v>期限検出</x:v>
      </x:c>
      <x:c r="H124" s="27" t="str">
        <x:v>新しい課題: 仮想課題-123</x:v>
      </x:c>
      <x:c r="I124" s="27" t="str">
        <x:v>架空担当A &lt;fixture-123@example.invalid&gt;</x:v>
      </x:c>
      <x:c r="J124" s="27" t="n">
        <x:v>46274.125</x:v>
      </x:c>
      <x:c r="K124" s="27" t="str">
        <x:v>https://mail.example.invalid/thread/SIM-INCA-123</x:v>
      </x:c>
      <x:c r="L124" s="28" t="str">
        <x:v>履修者：SIM-000123
曜日・時限：月曜1限
授業名：架空データ解析
教員名：架空担当A
更新内容：
・課題（仮想課題-123）が追加されました。（2026/09/10 08:00）
参照：https://portal.example.invalid/demo/SIM-INCA-123</x:v>
      </x:c>
      <x:c r="M124" s="27" t="str">
        <x:v>未確認</x:v>
      </x:c>
      <x:c r="N124" s="27" t="str"/>
      <x:c r="O124" s="27" t="str"/>
      <x:c r="P124" s="27" t="str"/>
      <x:c r="Q124" s="36" t="n">
        <x:f>'テスト設定'!$B$2</x:f>
        <x:v>46298</x:v>
      </x:c>
      <x:c r="R124" s="36" t="n">
        <x:f>'テスト設定'!$B$2</x:f>
        <x:v>46298</x:v>
      </x:c>
      <x:c r="S124" s="36" t="n">
        <x:f>IF(F124="","",IF(ISNUMBER(F124),F124+'テスト設定'!$B$6,F124))</x:f>
        <x:v>46306.62430555555</x:v>
      </x:c>
      <x:c r="T124" s="36" t="n">
        <x:f>IF(S124="","",S124)</x:f>
        <x:v>46306.62430555555</x:v>
      </x:c>
    </x:row>
    <x:row r="125" ht="34" customHeight="1">
      <x:c r="A125" s="27" t="n">
        <x:v>46274.25</x:v>
      </x:c>
      <x:c r="B125" s="27" t="str">
        <x:v>SIM-INCA-124</x:v>
      </x:c>
      <x:c r="C125" s="27" t="str">
        <x:v>inCampus</x:v>
      </x:c>
      <x:c r="D125" s="27" t="str">
        <x:v>仮想心理演習</x:v>
      </x:c>
      <x:c r="E125" s="27" t="str">
        <x:v>仮想課題-124</x:v>
      </x:c>
      <x:c r="F125" s="27" t="n">
        <x:v>46284.62430555555</x:v>
      </x:c>
      <x:c r="G125" s="27" t="str">
        <x:v>期限検出</x:v>
      </x:c>
      <x:c r="H125" s="27" t="str">
        <x:v>新しい課題: 仮想課題-124</x:v>
      </x:c>
      <x:c r="I125" s="27" t="str">
        <x:v>架空担当B &lt;fixture-124@example.invalid&gt;</x:v>
      </x:c>
      <x:c r="J125" s="27" t="n">
        <x:v>46274.166666666664</x:v>
      </x:c>
      <x:c r="K125" s="27" t="str">
        <x:v>https://mail.example.invalid/thread/SIM-INCA-124</x:v>
      </x:c>
      <x:c r="L125" s="28" t="str">
        <x:v>履修者：SIM-000124
曜日・時限：火曜3限
授業名：仮想心理演習
教員名：架空担当B
更新内容：
・課題（仮想課題-124）が追加されました。（2026/09/10 08:00）
参照：https://portal.example.invalid/demo/SIM-INCA-124</x:v>
      </x:c>
      <x:c r="M125" s="27" t="str">
        <x:v>未確認</x:v>
      </x:c>
      <x:c r="N125" s="27" t="str"/>
      <x:c r="O125" s="27" t="str"/>
      <x:c r="P125" s="27" t="str"/>
      <x:c r="Q125" s="36" t="n">
        <x:f>'テスト設定'!$B$2</x:f>
        <x:v>46298</x:v>
      </x:c>
      <x:c r="R125" s="36" t="n">
        <x:f>'テスト設定'!$B$2</x:f>
        <x:v>46298</x:v>
      </x:c>
      <x:c r="S125" s="36" t="n">
        <x:f>IF(F125="","",IF(ISNUMBER(F125),F125+'テスト設定'!$B$6,F125))</x:f>
        <x:v>46307.62430555555</x:v>
      </x:c>
      <x:c r="T125" s="36" t="n">
        <x:f>IF(S125="","",S125)</x:f>
        <x:v>46307.62430555555</x:v>
      </x:c>
    </x:row>
    <x:row r="126" ht="34" customHeight="1">
      <x:c r="A126" s="27" t="n">
        <x:v>46274.291666666664</x:v>
      </x:c>
      <x:c r="B126" s="27" t="str">
        <x:v>SIM-INCA-125</x:v>
      </x:c>
      <x:c r="C126" s="27" t="str">
        <x:v>inCampus</x:v>
      </x:c>
      <x:c r="D126" s="27" t="str">
        <x:v>サンプル情報設計</x:v>
      </x:c>
      <x:c r="E126" s="27" t="str">
        <x:v>仮想課題-125</x:v>
      </x:c>
      <x:c r="F126" s="27" t="n">
        <x:v>46285.62430555555</x:v>
      </x:c>
      <x:c r="G126" s="27" t="str">
        <x:v>期限検出</x:v>
      </x:c>
      <x:c r="H126" s="27" t="str">
        <x:v>新しい課題: 仮想課題-125</x:v>
      </x:c>
      <x:c r="I126" s="27" t="str">
        <x:v>架空担当C &lt;fixture-125@example.invalid&gt;</x:v>
      </x:c>
      <x:c r="J126" s="27" t="n">
        <x:v>46274.208333333336</x:v>
      </x:c>
      <x:c r="K126" s="27" t="str">
        <x:v>https://mail.example.invalid/thread/SIM-INCA-125</x:v>
      </x:c>
      <x:c r="L126" s="28" t="str">
        <x:v>履修者：SIM-000125
曜日・時限：金曜2限
授業名：サンプル情報設計
教員名：架空担当C
更新内容：
・課題（仮想課題-125）が追加されました。（2026/09/10 08:00）
参照：https://portal.example.invalid/demo/SIM-INCA-125</x:v>
      </x:c>
      <x:c r="M126" s="27" t="str">
        <x:v>未確認</x:v>
      </x:c>
      <x:c r="N126" s="27" t="str"/>
      <x:c r="O126" s="27" t="str"/>
      <x:c r="P126" s="27" t="str"/>
      <x:c r="Q126" s="36" t="n">
        <x:f>'テスト設定'!$B$2</x:f>
        <x:v>46298</x:v>
      </x:c>
      <x:c r="R126" s="36" t="n">
        <x:f>'テスト設定'!$B$2</x:f>
        <x:v>46298</x:v>
      </x:c>
      <x:c r="S126" s="36" t="n">
        <x:f>IF(F126="","",IF(ISNUMBER(F126),F126+'テスト設定'!$B$6,F126))</x:f>
        <x:v>46308.62430555555</x:v>
      </x:c>
      <x:c r="T126" s="36" t="n">
        <x:f>IF(S126="","",S126)</x:f>
        <x:v>46308.62430555555</x:v>
      </x:c>
    </x:row>
    <x:row r="127" ht="34" customHeight="1">
      <x:c r="A127" s="27" t="n">
        <x:v>46273.958333333336</x:v>
      </x:c>
      <x:c r="B127" s="27" t="str">
        <x:v>SIM-INCA-126</x:v>
      </x:c>
      <x:c r="C127" s="27" t="str">
        <x:v>inCampus</x:v>
      </x:c>
      <x:c r="D127" s="27" t="str">
        <x:v>架空データ解析</x:v>
      </x:c>
      <x:c r="E127" s="27" t="str">
        <x:v>仮想課題-126</x:v>
      </x:c>
      <x:c r="F127" s="27" t="n">
        <x:v>46268.62430555555</x:v>
      </x:c>
      <x:c r="G127" s="27" t="str">
        <x:v>期限検出</x:v>
      </x:c>
      <x:c r="H127" s="27" t="str">
        <x:v>新しい課題: 仮想課題-126</x:v>
      </x:c>
      <x:c r="I127" s="27" t="str">
        <x:v>架空担当A &lt;fixture-126@example.invalid&gt;</x:v>
      </x:c>
      <x:c r="J127" s="27" t="n">
        <x:v>46274.25</x:v>
      </x:c>
      <x:c r="K127" s="27" t="str">
        <x:v>https://mail.example.invalid/thread/SIM-INCA-126</x:v>
      </x:c>
      <x:c r="L127" s="28" t="str">
        <x:v>履修者：SIM-000126
曜日・時限：月曜1限
授業名：架空データ解析
教員名：架空担当A
更新内容：
・課題（仮想課題-126）が追加されました。（2026/09/10 08:00）
参照：https://portal.example.invalid/demo/SIM-INCA-126</x:v>
      </x:c>
      <x:c r="M127" s="27" t="str">
        <x:v>未確認</x:v>
      </x:c>
      <x:c r="N127" s="27" t="str"/>
      <x:c r="O127" s="27" t="str"/>
      <x:c r="P127" s="27" t="str"/>
      <x:c r="Q127" s="36" t="n">
        <x:f>'テスト設定'!$B$2</x:f>
        <x:v>46298</x:v>
      </x:c>
      <x:c r="R127" s="36" t="n">
        <x:f>'テスト設定'!$B$2</x:f>
        <x:v>46298</x:v>
      </x:c>
      <x:c r="S127" s="36" t="n">
        <x:f>IF(F127="","",IF(ISNUMBER(F127),F127+'テスト設定'!$B$6,F127))</x:f>
        <x:v>46291.62430555555</x:v>
      </x:c>
      <x:c r="T127" s="36" t="n">
        <x:f>IF(S127="","",S127)</x:f>
        <x:v>46291.62430555555</x:v>
      </x:c>
    </x:row>
    <x:row r="128" ht="34" customHeight="1">
      <x:c r="A128" s="27" t="n">
        <x:v>46274</x:v>
      </x:c>
      <x:c r="B128" s="27" t="str">
        <x:v>SIM-INCA-127</x:v>
      </x:c>
      <x:c r="C128" s="27" t="str">
        <x:v>inCampus</x:v>
      </x:c>
      <x:c r="D128" s="27" t="str">
        <x:v>仮想心理演習</x:v>
      </x:c>
      <x:c r="E128" s="27" t="str">
        <x:v>仮想課題-127</x:v>
      </x:c>
      <x:c r="F128" s="27" t="n">
        <x:v>46269.62430555555</x:v>
      </x:c>
      <x:c r="G128" s="27" t="str">
        <x:v>期限検出</x:v>
      </x:c>
      <x:c r="H128" s="27" t="str">
        <x:v>新しい課題: 仮想課題-127</x:v>
      </x:c>
      <x:c r="I128" s="27" t="str">
        <x:v>架空担当B &lt;fixture-127@example.invalid&gt;</x:v>
      </x:c>
      <x:c r="J128" s="27" t="n">
        <x:v>46274.291666666664</x:v>
      </x:c>
      <x:c r="K128" s="27" t="str">
        <x:v>https://mail.example.invalid/thread/SIM-INCA-127</x:v>
      </x:c>
      <x:c r="L128" s="28" t="str">
        <x:v>履修者：SIM-000127
曜日・時限：火曜3限
授業名：仮想心理演習
教員名：架空担当B
更新内容：
・課題（仮想課題-127）が追加されました。（2026/09/10 08:00）
参照：https://portal.example.invalid/demo/SIM-INCA-127</x:v>
      </x:c>
      <x:c r="M128" s="27" t="str">
        <x:v>未確認</x:v>
      </x:c>
      <x:c r="N128" s="27" t="str"/>
      <x:c r="O128" s="27" t="str"/>
      <x:c r="P128" s="27" t="str"/>
      <x:c r="Q128" s="36" t="n">
        <x:f>'テスト設定'!$B$2</x:f>
        <x:v>46298</x:v>
      </x:c>
      <x:c r="R128" s="36" t="n">
        <x:f>'テスト設定'!$B$2</x:f>
        <x:v>46298</x:v>
      </x:c>
      <x:c r="S128" s="36" t="n">
        <x:f>IF(F128="","",IF(ISNUMBER(F128),F128+'テスト設定'!$B$6,F128))</x:f>
        <x:v>46292.62430555555</x:v>
      </x:c>
      <x:c r="T128" s="36" t="n">
        <x:f>IF(S128="","",S128)</x:f>
        <x:v>46292.62430555555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20" hidden="0" customWidth="1"/>
    <x:col min="3" max="3" width="48" hidden="0" customWidth="1"/>
    <x:col min="4" max="4" width="60" hidden="0" customWidth="1"/>
    <x:col min="5" max="5" width="21" hidden="0" customWidth="1"/>
    <x:col min="6" max="6" width="21" hidden="0" customWidth="1"/>
    <x:col min="7" max="7" width="36" hidden="0" customWidth="1"/>
    <x:col min="8" max="8" width="20" hidden="0" customWidth="1"/>
    <x:col min="9" max="9" width="18" hidden="0" customWidth="1"/>
    <x:col min="10" max="10" width="40" hidden="0" customWidth="1"/>
    <x:col min="11" max="11" width="44" hidden="0" customWidth="1"/>
    <x:col min="12" max="12" width="26" hidden="0" customWidth="1"/>
    <x:col min="13" max="13" width="21" hidden="0" customWidth="1"/>
    <x:col min="14" max="14" width="40" hidden="0" customWidth="1"/>
    <x:col min="15" max="15" width="18" hidden="0" customWidth="1"/>
    <x:col min="16" max="16" width="21" hidden="0" customWidth="1"/>
    <x:col min="17" max="17" width="40" hidden="0" customWidth="1"/>
    <x:col min="18" max="18" width="24" hidden="0" customWidth="1"/>
    <x:col min="19" max="19" width="24" hidden="0" customWidth="1"/>
    <x:col min="20" max="20" width="26" hidden="0" customWidth="1"/>
  </x:cols>
  <x:sheetData>
    <x:row r="1">
      <x:c r="A1" s="33" t="str">
        <x:v>source</x:v>
      </x:c>
      <x:c r="B1" s="33" t="str">
        <x:v>type</x:v>
      </x:c>
      <x:c r="C1" s="33" t="str">
        <x:v>title</x:v>
      </x:c>
      <x:c r="D1" s="33" t="str">
        <x:v>body</x:v>
      </x:c>
      <x:c r="E1" s="33" t="str">
        <x:v>startAt</x:v>
      </x:c>
      <x:c r="F1" s="33" t="str">
        <x:v>dueAt</x:v>
      </x:c>
      <x:c r="G1" s="33" t="str">
        <x:v>periodText</x:v>
      </x:c>
      <x:c r="H1" s="33" t="str">
        <x:v>lateSubmission</x:v>
      </x:c>
      <x:c r="I1" s="33" t="str">
        <x:v>assignmentType</x:v>
      </x:c>
      <x:c r="J1" s="33" t="str">
        <x:v>attachment</x:v>
      </x:c>
      <x:c r="K1" s="33" t="str">
        <x:v>pageUrl</x:v>
      </x:c>
      <x:c r="L1" s="33" t="str">
        <x:v>extractedAt</x:v>
      </x:c>
      <x:c r="M1" s="33" t="str">
        <x:v>receivedAt</x:v>
      </x:c>
      <x:c r="N1" s="33" t="str">
        <x:v>rawJson</x:v>
      </x:c>
      <x:c r="O1" s="33" t="str">
        <x:v>status</x:v>
      </x:c>
      <x:c r="P1" s="33" t="str">
        <x:v>completedAt</x:v>
      </x:c>
      <x:c r="Q1" s="33" t="str">
        <x:v>assignmentKey</x:v>
      </x:c>
      <x:c r="R1" s="35" t="str">
        <x:v>テスト受信日時</x:v>
      </x:c>
      <x:c r="S1" s="35" t="str">
        <x:v>テスト期限（保存値）</x:v>
      </x:c>
      <x:c r="T1" s="35" t="str">
        <x:v>テスト期限（アプリ表示）</x:v>
      </x:c>
    </x:row>
    <x:row r="2" ht="34" customHeight="1">
      <x:c r="A2" s="27" t="str">
        <x:v>inCampus</x:v>
      </x:c>
      <x:c r="B2" s="27" t="str">
        <x:v>assignment</x:v>
      </x:c>
      <x:c r="C2" s="27" t="str">
        <x:v>仮想基準期限レポート</x:v>
      </x:c>
      <x:c r="D2" s="28" t="str">
        <x:v>架空の課題本文です。実在の授業・人物・提出先を含みません。</x:v>
      </x:c>
      <x:c r="E2" s="27" t="n">
        <x:v>46267</x:v>
      </x:c>
      <x:c r="F2" s="27" t="n">
        <x:v>46275</x:v>
      </x:c>
      <x:c r="G2" s="27" t="str">
        <x:v>2026/09/01 09:00
～
2026/09/10 00:00</x:v>
      </x:c>
      <x:c r="H2" s="27" t="str">
        <x:v>不可</x:v>
      </x:c>
      <x:c r="I2" s="27" t="str">
        <x:v>個人</x:v>
      </x:c>
      <x:c r="J2" s="27" t="str"/>
      <x:c r="K2" s="27" t="str">
        <x:v>https://portal.example.invalid/course/report/SIM-0001</x:v>
      </x:c>
      <x:c r="L2" s="27" t="n">
        <x:v>46273.958333333336</x:v>
      </x:c>
      <x:c r="M2" s="27" t="n">
        <x:v>46274</x:v>
      </x:c>
      <x:c r="N2" s="27" t="str">
        <x:v>{"source":"inCampus","type":"assignment","title":"仮想基準期限レポート","body":"架空の課題本文です。実在の授業・人物・提出先を含みません。","startAt":"2026/09/01 09:00","dueAt":"2026/09/10 00:00","courseName":"仮想心理演習","updateText":"・課題（仮想基準期限レポート）が追加されました。","updateAction":"add","updateAt":"2026/09/01 09:00","pageUrl":"https://portal.example.invalid/course/report/SIM-0001","assignmentKey":"SIM-ASSIGN-0001"}</x:v>
      </x:c>
      <x:c r="O2" s="27" t="str">
        <x:v>未確認</x:v>
      </x:c>
      <x:c r="P2" s="27" t="str"/>
      <x:c r="Q2" s="27" t="str">
        <x:v>SIM-ASSIGN-0001</x:v>
      </x:c>
      <x:c r="R2" s="36" t="n">
        <x:f>'テスト設定'!$B$2</x:f>
        <x:v>46298</x:v>
      </x:c>
      <x:c r="S2" s="36" t="n">
        <x:f>IF(F2="","",IF(ISNUMBER(F2),F2+'テスト設定'!$B$6,F2))</x:f>
        <x:v>46298</x:v>
      </x:c>
      <x:c r="T2" s="36" t="n">
        <x:f>IF(S2="","",IF(ISNUMBER(S2),IF(MOD(S2,1)=0,S2-1+TIME(23,59,0),S2),S2))</x:f>
        <x:v>46297.99930555555</x:v>
      </x:c>
    </x:row>
    <x:row r="3" ht="34" customHeight="1">
      <x:c r="A3" s="27" t="str">
        <x:v>inCampus</x:v>
      </x:c>
      <x:c r="B3" s="27" t="str">
        <x:v>assignment</x:v>
      </x:c>
      <x:c r="C3" s="27" t="str">
        <x:v>仮想提出課題-002</x:v>
      </x:c>
      <x:c r="D3" s="28" t="str">
        <x:v>架空の課題本文です。実在の授業・人物・提出先を含みません。</x:v>
      </x:c>
      <x:c r="E3" s="27" t="n">
        <x:v>46268</x:v>
      </x:c>
      <x:c r="F3" s="27" t="n">
        <x:v>46270.62430555555</x:v>
      </x:c>
      <x:c r="G3" s="27" t="str">
        <x:v>2026/09/01 09:00
～
2026/09/05 23:59</x:v>
      </x:c>
      <x:c r="H3" s="27" t="str">
        <x:v>不可</x:v>
      </x:c>
      <x:c r="I3" s="27" t="str">
        <x:v>個人</x:v>
      </x:c>
      <x:c r="J3" s="27" t="str"/>
      <x:c r="K3" s="27" t="str">
        <x:v>https://portal.example.invalid/course/report/SIM-0002</x:v>
      </x:c>
      <x:c r="L3" s="27" t="n">
        <x:v>46273.958333333336</x:v>
      </x:c>
      <x:c r="M3" s="27" t="n">
        <x:v>46274</x:v>
      </x:c>
      <x:c r="N3" s="27" t="str">
        <x:v>{"source":"inCampus","type":"assignment","title":"仮想提出課題-002","body":"架空の課題本文です。実在の授業・人物・提出先を含みません。","startAt":"2026/09/01 09:00","dueAt":"2026/09/05 23:59","courseName":"サンプル情報設計","updateText":"・課題（仮想提出課題-002）が追加されました。","updateAction":"add","updateAt":"2026/09/01 09:00","pageUrl":"https://portal.example.invalid/course/report/SIM-0002","assignmentKey":"SIM-ASSIGN-0002"}</x:v>
      </x:c>
      <x:c r="O3" s="27" t="str">
        <x:v>未確認</x:v>
      </x:c>
      <x:c r="P3" s="27" t="str"/>
      <x:c r="Q3" s="27" t="str">
        <x:v>SIM-ASSIGN-0002</x:v>
      </x:c>
      <x:c r="R3" s="36" t="n">
        <x:f>'テスト設定'!$B$2</x:f>
        <x:v>46298</x:v>
      </x:c>
      <x:c r="S3" s="36" t="n">
        <x:f>IF(F3="","",IF(ISNUMBER(F3),F3+'テスト設定'!$B$6,F3))</x:f>
        <x:v>46293.62430555555</x:v>
      </x:c>
      <x:c r="T3" s="36" t="n">
        <x:f>IF(S3="","",IF(ISNUMBER(S3),IF(MOD(S3,1)=0,S3-1+TIME(23,59,0),S3),S3))</x:f>
        <x:v>46293.62430555555</x:v>
      </x:c>
    </x:row>
    <x:row r="4" ht="34" customHeight="1">
      <x:c r="A4" s="27" t="str">
        <x:v>inCampus</x:v>
      </x:c>
      <x:c r="B4" s="27" t="str">
        <x:v>assignment</x:v>
      </x:c>
      <x:c r="C4" s="27" t="str">
        <x:v>仮想提出課題-003</x:v>
      </x:c>
      <x:c r="D4" s="28" t="str">
        <x:v>架空の課題本文です。実在の授業・人物・提出先を含みません。</x:v>
      </x:c>
      <x:c r="E4" s="27" t="n">
        <x:v>46269</x:v>
      </x:c>
      <x:c r="F4" s="27" t="n">
        <x:v>46271.62430555555</x:v>
      </x:c>
      <x:c r="G4" s="27" t="str">
        <x:v>2026/09/01 09:00
～
2026/09/06 23:59</x:v>
      </x:c>
      <x:c r="H4" s="27" t="str">
        <x:v>不可</x:v>
      </x:c>
      <x:c r="I4" s="27" t="str">
        <x:v>個人</x:v>
      </x:c>
      <x:c r="J4" s="27" t="str"/>
      <x:c r="K4" s="27" t="str">
        <x:v>https://portal.example.invalid/course/report/SIM-0003</x:v>
      </x:c>
      <x:c r="L4" s="27" t="n">
        <x:v>46273.958333333336</x:v>
      </x:c>
      <x:c r="M4" s="27" t="n">
        <x:v>46274</x:v>
      </x:c>
      <x:c r="N4" s="27" t="str">
        <x:v>{"source":"inCampus","type":"assignment","title":"仮想提出課題-003","body":"架空の課題本文です。実在の授業・人物・提出先を含みません。","startAt":"2026/09/01 09:00","dueAt":"2026/09/06 23:59","courseName":"架空データ解析","updateText":"・課題（仮想提出課題-003）が追加されました。","updateAction":"add","updateAt":"2026/09/01 09:00","pageUrl":"https://portal.example.invalid/course/report/SIM-0003","assignmentKey":"SIM-ASSIGN-0003"}</x:v>
      </x:c>
      <x:c r="O4" s="27" t="str">
        <x:v>未確認</x:v>
      </x:c>
      <x:c r="P4" s="27" t="str"/>
      <x:c r="Q4" s="27" t="str">
        <x:v>SIM-ASSIGN-0003</x:v>
      </x:c>
      <x:c r="R4" s="36" t="n">
        <x:f>'テスト設定'!$B$2</x:f>
        <x:v>46298</x:v>
      </x:c>
      <x:c r="S4" s="36" t="n">
        <x:f>IF(F4="","",IF(ISNUMBER(F4),F4+'テスト設定'!$B$6,F4))</x:f>
        <x:v>46294.62430555555</x:v>
      </x:c>
      <x:c r="T4" s="36" t="n">
        <x:f>IF(S4="","",IF(ISNUMBER(S4),IF(MOD(S4,1)=0,S4-1+TIME(23,59,0),S4),S4))</x:f>
        <x:v>46294.62430555555</x:v>
      </x:c>
    </x:row>
    <x:row r="5" ht="34" customHeight="1">
      <x:c r="A5" s="27" t="str">
        <x:v>inCampus</x:v>
      </x:c>
      <x:c r="B5" s="27" t="str">
        <x:v>assignment</x:v>
      </x:c>
      <x:c r="C5" s="27" t="str">
        <x:v>仮想提出課題-004</x:v>
      </x:c>
      <x:c r="D5" s="28" t="str">
        <x:v>架空の課題本文です。実在の授業・人物・提出先を含みません。</x:v>
      </x:c>
      <x:c r="E5" s="27" t="n">
        <x:v>46270</x:v>
      </x:c>
      <x:c r="F5" s="27" t="n">
        <x:v>46272.62430555555</x:v>
      </x:c>
      <x:c r="G5" s="27" t="str">
        <x:v>2026/09/01 09:00
～
2026/09/07 23:59</x:v>
      </x:c>
      <x:c r="H5" s="27" t="str">
        <x:v>不可</x:v>
      </x:c>
      <x:c r="I5" s="27" t="str">
        <x:v>個人</x:v>
      </x:c>
      <x:c r="J5" s="27" t="str"/>
      <x:c r="K5" s="27" t="str">
        <x:v>https://portal.example.invalid/course/report/SIM-0004</x:v>
      </x:c>
      <x:c r="L5" s="27" t="n">
        <x:v>46273.958333333336</x:v>
      </x:c>
      <x:c r="M5" s="27" t="n">
        <x:v>46274</x:v>
      </x:c>
      <x:c r="N5" s="27" t="str">
        <x:v>{"source":"inCampus","type":"assignment","title":"仮想提出課題-004","body":"架空の課題本文です。実在の授業・人物・提出先を含みません。","startAt":"2026/09/01 09:00","dueAt":"2026/09/07 23:59","courseName":"仮想心理演習","updateText":"・課題（仮想提出課題-004）が追加されました。","updateAction":"add","updateAt":"2026/09/01 09:00","pageUrl":"https://portal.example.invalid/course/report/SIM-0004","assignmentKey":"SIM-ASSIGN-0004"}</x:v>
      </x:c>
      <x:c r="O5" s="27" t="str">
        <x:v>完了</x:v>
      </x:c>
      <x:c r="P5" s="27" t="n">
        <x:v>46273.375</x:v>
      </x:c>
      <x:c r="Q5" s="27" t="str">
        <x:v>SIM-ASSIGN-0004</x:v>
      </x:c>
      <x:c r="R5" s="36" t="n">
        <x:f>'テスト設定'!$B$2</x:f>
        <x:v>46298</x:v>
      </x:c>
      <x:c r="S5" s="36" t="n">
        <x:f>IF(F5="","",IF(ISNUMBER(F5),F5+'テスト設定'!$B$6,F5))</x:f>
        <x:v>46295.62430555555</x:v>
      </x:c>
      <x:c r="T5" s="36" t="n">
        <x:f>IF(S5="","",IF(ISNUMBER(S5),IF(MOD(S5,1)=0,S5-1+TIME(23,59,0),S5),S5))</x:f>
        <x:v>46295.62430555555</x:v>
      </x:c>
    </x:row>
    <x:row r="6" ht="34" customHeight="1">
      <x:c r="A6" s="27" t="str">
        <x:v>inCampus</x:v>
      </x:c>
      <x:c r="B6" s="27" t="str">
        <x:v>assignment</x:v>
      </x:c>
      <x:c r="C6" s="27" t="str">
        <x:v>仮想提出課題-005</x:v>
      </x:c>
      <x:c r="D6" s="28" t="str">
        <x:v>架空の課題本文です。実在の授業・人物・提出先を含みません。</x:v>
      </x:c>
      <x:c r="E6" s="27" t="n">
        <x:v>46271</x:v>
      </x:c>
      <x:c r="F6" s="27" t="n">
        <x:v>46273.62430555555</x:v>
      </x:c>
      <x:c r="G6" s="27" t="str">
        <x:v>2026/09/01 09:00
～
2026/09/08 23:59</x:v>
      </x:c>
      <x:c r="H6" s="27" t="str">
        <x:v>不可</x:v>
      </x:c>
      <x:c r="I6" s="27" t="str">
        <x:v>個人</x:v>
      </x:c>
      <x:c r="J6" s="27" t="str"/>
      <x:c r="K6" s="27" t="str">
        <x:v>https://portal.example.invalid/course/report/SIM-0005</x:v>
      </x:c>
      <x:c r="L6" s="27" t="n">
        <x:v>46273.958333333336</x:v>
      </x:c>
      <x:c r="M6" s="27" t="n">
        <x:v>46274</x:v>
      </x:c>
      <x:c r="N6" s="27" t="str">
        <x:v>{"source":"inCampus","type":"assignment","title":"仮想提出課題-005","body":"架空の課題本文です。実在の授業・人物・提出先を含みません。","startAt":"2026/09/01 09:00","dueAt":"2026/09/08 23:59","courseName":"サンプル情報設計","updateText":"・課題（仮想提出課題-005）が追加されました。","updateAction":"add","updateAt":"2026/09/01 09:00","pageUrl":"https://portal.example.invalid/course/report/SIM-0005","assignmentKey":"SIM-ASSIGN-0005"}</x:v>
      </x:c>
      <x:c r="O6" s="27" t="str">
        <x:v>未確認</x:v>
      </x:c>
      <x:c r="P6" s="27" t="str"/>
      <x:c r="Q6" s="27" t="str">
        <x:v>SIM-ASSIGN-0005</x:v>
      </x:c>
      <x:c r="R6" s="36" t="n">
        <x:f>'テスト設定'!$B$2</x:f>
        <x:v>46298</x:v>
      </x:c>
      <x:c r="S6" s="36" t="n">
        <x:f>IF(F6="","",IF(ISNUMBER(F6),F6+'テスト設定'!$B$6,F6))</x:f>
        <x:v>46296.62430555555</x:v>
      </x:c>
      <x:c r="T6" s="36" t="n">
        <x:f>IF(S6="","",IF(ISNUMBER(S6),IF(MOD(S6,1)=0,S6-1+TIME(23,59,0),S6),S6))</x:f>
        <x:v>46296.62430555555</x:v>
      </x:c>
    </x:row>
    <x:row r="7" ht="34" customHeight="1">
      <x:c r="A7" s="27" t="str">
        <x:v>inCampus</x:v>
      </x:c>
      <x:c r="B7" s="27" t="str">
        <x:v>assignment</x:v>
      </x:c>
      <x:c r="C7" s="27" t="str">
        <x:v>仮想提出課題-006</x:v>
      </x:c>
      <x:c r="D7" s="28" t="str">
        <x:v>架空の課題本文です。実在の授業・人物・提出先を含みません。</x:v>
      </x:c>
      <x:c r="E7" s="27" t="n">
        <x:v>46272</x:v>
      </x:c>
      <x:c r="F7" s="27" t="n">
        <x:v>46274.62430555555</x:v>
      </x:c>
      <x:c r="G7" s="27" t="str">
        <x:v>2026/09/01 09:00
～
2026/09/09 23:59</x:v>
      </x:c>
      <x:c r="H7" s="27" t="str">
        <x:v>不可</x:v>
      </x:c>
      <x:c r="I7" s="27" t="str">
        <x:v>個人</x:v>
      </x:c>
      <x:c r="J7" s="27" t="str"/>
      <x:c r="K7" s="27" t="str">
        <x:v>https://portal.example.invalid/course/report/SIM-0006</x:v>
      </x:c>
      <x:c r="L7" s="27" t="n">
        <x:v>46273.958333333336</x:v>
      </x:c>
      <x:c r="M7" s="27" t="n">
        <x:v>46274</x:v>
      </x:c>
      <x:c r="N7" s="27" t="str">
        <x:v>{"source":"inCampus","type":"assignment","title":"仮想提出課題-006","body":"架空の課題本文です。実在の授業・人物・提出先を含みません。","startAt":"2026/09/01 09:00","dueAt":"2026/09/09 23:59","courseName":"架空データ解析","updateText":"・課題（仮想提出課題-006）が追加されました。","updateAction":"add","updateAt":"2026/09/01 09:00","pageUrl":"https://portal.example.invalid/course/report/SIM-0006","assignmentKey":"SIM-ASSIGN-0006"}</x:v>
      </x:c>
      <x:c r="O7" s="27" t="str">
        <x:v>未確認</x:v>
      </x:c>
      <x:c r="P7" s="27" t="str"/>
      <x:c r="Q7" s="27" t="str">
        <x:v>SIM-ASSIGN-0006</x:v>
      </x:c>
      <x:c r="R7" s="36" t="n">
        <x:f>'テスト設定'!$B$2</x:f>
        <x:v>46298</x:v>
      </x:c>
      <x:c r="S7" s="36" t="n">
        <x:f>IF(F7="","",IF(ISNUMBER(F7),F7+'テスト設定'!$B$6,F7))</x:f>
        <x:v>46297.62430555555</x:v>
      </x:c>
      <x:c r="T7" s="36" t="n">
        <x:f>IF(S7="","",IF(ISNUMBER(S7),IF(MOD(S7,1)=0,S7-1+TIME(23,59,0),S7),S7))</x:f>
        <x:v>46297.62430555555</x:v>
      </x:c>
    </x:row>
    <x:row r="8" ht="34" customHeight="1">
      <x:c r="A8" s="27" t="str">
        <x:v>inCampus</x:v>
      </x:c>
      <x:c r="B8" s="27" t="str">
        <x:v>assignment</x:v>
      </x:c>
      <x:c r="C8" s="27" t="str">
        <x:v>仮想提出課題-007</x:v>
      </x:c>
      <x:c r="D8" s="28" t="str">
        <x:v>架空の課題本文です。実在の授業・人物・提出先を含みません。</x:v>
      </x:c>
      <x:c r="E8" s="27" t="n">
        <x:v>46273</x:v>
      </x:c>
      <x:c r="F8" s="27" t="n">
        <x:v>46275.62430555555</x:v>
      </x:c>
      <x:c r="G8" s="27" t="str">
        <x:v>2026/09/01 09:00
～
2026/09/10 23:59</x:v>
      </x:c>
      <x:c r="H8" s="27" t="str">
        <x:v>不可</x:v>
      </x:c>
      <x:c r="I8" s="27" t="str">
        <x:v>個人</x:v>
      </x:c>
      <x:c r="J8" s="27" t="str"/>
      <x:c r="K8" s="27" t="str">
        <x:v>https://portal.example.invalid/course/report/SIM-0007</x:v>
      </x:c>
      <x:c r="L8" s="27" t="n">
        <x:v>46273.958333333336</x:v>
      </x:c>
      <x:c r="M8" s="27" t="n">
        <x:v>46274</x:v>
      </x:c>
      <x:c r="N8" s="27" t="str">
        <x:v>{"source":"inCampus","type":"assignment","title":"仮想提出課題-007","body":"架空の課題本文です。実在の授業・人物・提出先を含みません。","startAt":"2026/09/01 09:00","dueAt":"2026/09/10 23:59","courseName":"仮想心理演習","updateText":"・課題（仮想提出課題-007）が追加されました。","updateAction":"add","updateAt":"2026/09/01 09:00","pageUrl":"https://portal.example.invalid/course/report/SIM-0007","assignmentKey":"SIM-ASSIGN-0007"}</x:v>
      </x:c>
      <x:c r="O8" s="27" t="str">
        <x:v>未確認</x:v>
      </x:c>
      <x:c r="P8" s="27" t="str"/>
      <x:c r="Q8" s="27" t="str">
        <x:v>SIM-ASSIGN-0007</x:v>
      </x:c>
      <x:c r="R8" s="36" t="n">
        <x:f>'テスト設定'!$B$2</x:f>
        <x:v>46298</x:v>
      </x:c>
      <x:c r="S8" s="36" t="n">
        <x:f>IF(F8="","",IF(ISNUMBER(F8),F8+'テスト設定'!$B$6,F8))</x:f>
        <x:v>46298.62430555555</x:v>
      </x:c>
      <x:c r="T8" s="36" t="n">
        <x:f>IF(S8="","",IF(ISNUMBER(S8),IF(MOD(S8,1)=0,S8-1+TIME(23,59,0),S8),S8))</x:f>
        <x:v>46298.62430555555</x:v>
      </x:c>
    </x:row>
    <x:row r="9" ht="34" customHeight="1">
      <x:c r="A9" s="27" t="str">
        <x:v>inCampus</x:v>
      </x:c>
      <x:c r="B9" s="27" t="str">
        <x:v>assignment</x:v>
      </x:c>
      <x:c r="C9" s="27" t="str">
        <x:v>仮想提出課題-008</x:v>
      </x:c>
      <x:c r="D9" s="28" t="str">
        <x:v>架空の課題本文です。実在の授業・人物・提出先を含みません。</x:v>
      </x:c>
      <x:c r="E9" s="27" t="n">
        <x:v>46274</x:v>
      </x:c>
      <x:c r="F9" s="27" t="n">
        <x:v>46276.62430555555</x:v>
      </x:c>
      <x:c r="G9" s="27" t="str">
        <x:v>2026/09/01 09:00
～
2026/09/11 23:59</x:v>
      </x:c>
      <x:c r="H9" s="27" t="str">
        <x:v>不可</x:v>
      </x:c>
      <x:c r="I9" s="27" t="str">
        <x:v>個人</x:v>
      </x:c>
      <x:c r="J9" s="27" t="str"/>
      <x:c r="K9" s="27" t="str">
        <x:v>https://portal.example.invalid/course/report/SIM-0008</x:v>
      </x:c>
      <x:c r="L9" s="27" t="n">
        <x:v>46273.958333333336</x:v>
      </x:c>
      <x:c r="M9" s="27" t="n">
        <x:v>46274</x:v>
      </x:c>
      <x:c r="N9" s="27" t="str">
        <x:v>{"source":"inCampus","type":"assignment","title":"仮想提出課題-008","body":"架空の課題本文です。実在の授業・人物・提出先を含みません。","startAt":"2026/09/01 09:00","dueAt":"2026/09/11 23:59","courseName":"サンプル情報設計","updateText":"・課題（仮想提出課題-008）が追加されました。","updateAction":"add","updateAt":"2026/09/01 09:00","pageUrl":"https://portal.example.invalid/course/report/SIM-0008","assignmentKey":"SIM-ASSIGN-0008"}</x:v>
      </x:c>
      <x:c r="O9" s="27" t="str">
        <x:v>完了</x:v>
      </x:c>
      <x:c r="P9" s="27" t="n">
        <x:v>46273.375</x:v>
      </x:c>
      <x:c r="Q9" s="27" t="str">
        <x:v>SIM-ASSIGN-0008</x:v>
      </x:c>
      <x:c r="R9" s="36" t="n">
        <x:f>'テスト設定'!$B$2</x:f>
        <x:v>46298</x:v>
      </x:c>
      <x:c r="S9" s="36" t="n">
        <x:f>IF(F9="","",IF(ISNUMBER(F9),F9+'テスト設定'!$B$6,F9))</x:f>
        <x:v>46299.62430555555</x:v>
      </x:c>
      <x:c r="T9" s="36" t="n">
        <x:f>IF(S9="","",IF(ISNUMBER(S9),IF(MOD(S9,1)=0,S9-1+TIME(23,59,0),S9),S9))</x:f>
        <x:v>46299.62430555555</x:v>
      </x:c>
    </x:row>
    <x:row r="10" ht="34" customHeight="1">
      <x:c r="A10" s="27" t="str">
        <x:v>inCampus</x:v>
      </x:c>
      <x:c r="B10" s="27" t="str">
        <x:v>assignment</x:v>
      </x:c>
      <x:c r="C10" s="27" t="str">
        <x:v>仮想提出課題-009</x:v>
      </x:c>
      <x:c r="D10" s="28" t="str">
        <x:v>架空の課題本文です。実在の授業・人物・提出先を含みません。</x:v>
      </x:c>
      <x:c r="E10" s="27" t="n">
        <x:v>46275</x:v>
      </x:c>
      <x:c r="F10" s="27" t="n">
        <x:v>46277.62430555555</x:v>
      </x:c>
      <x:c r="G10" s="27" t="str">
        <x:v>2026/09/01 09:00
～
2026/09/12 23:59</x:v>
      </x:c>
      <x:c r="H10" s="27" t="str">
        <x:v>不可</x:v>
      </x:c>
      <x:c r="I10" s="27" t="str">
        <x:v>個人</x:v>
      </x:c>
      <x:c r="J10" s="27" t="str"/>
      <x:c r="K10" s="27" t="str">
        <x:v>https://portal.example.invalid/course/report/SIM-0009</x:v>
      </x:c>
      <x:c r="L10" s="27" t="n">
        <x:v>46273.958333333336</x:v>
      </x:c>
      <x:c r="M10" s="27" t="n">
        <x:v>46274</x:v>
      </x:c>
      <x:c r="N10" s="27" t="str">
        <x:v>{"source":"inCampus","type":"assignment","title":"仮想提出課題-009","body":"架空の課題本文です。実在の授業・人物・提出先を含みません。","startAt":"2026/09/01 09:00","dueAt":"2026/09/12 23:59","courseName":"架空データ解析","updateText":"・課題（仮想提出課題-009）が追加されました。","updateAction":"add","updateAt":"2026/09/01 09:00","pageUrl":"https://portal.example.invalid/course/report/SIM-0009","assignmentKey":"SIM-ASSIGN-0009"}</x:v>
      </x:c>
      <x:c r="O10" s="27" t="str">
        <x:v>未確認</x:v>
      </x:c>
      <x:c r="P10" s="27" t="str"/>
      <x:c r="Q10" s="27" t="str">
        <x:v>SIM-ASSIGN-0009</x:v>
      </x:c>
      <x:c r="R10" s="36" t="n">
        <x:f>'テスト設定'!$B$2</x:f>
        <x:v>46298</x:v>
      </x:c>
      <x:c r="S10" s="36" t="n">
        <x:f>IF(F10="","",IF(ISNUMBER(F10),F10+'テスト設定'!$B$6,F10))</x:f>
        <x:v>46300.62430555555</x:v>
      </x:c>
      <x:c r="T10" s="36" t="n">
        <x:f>IF(S10="","",IF(ISNUMBER(S10),IF(MOD(S10,1)=0,S10-1+TIME(23,59,0),S10),S10))</x:f>
        <x:v>46300.62430555555</x:v>
      </x:c>
    </x:row>
    <x:row r="11" ht="34" customHeight="1">
      <x:c r="A11" s="27" t="str">
        <x:v>inCampus</x:v>
      </x:c>
      <x:c r="B11" s="27" t="str">
        <x:v>assignment</x:v>
      </x:c>
      <x:c r="C11" s="27" t="str">
        <x:v>仮想提出課題-010</x:v>
      </x:c>
      <x:c r="D11" s="28" t="str">
        <x:v>架空の課題本文です。実在の授業・人物・提出先を含みません。</x:v>
      </x:c>
      <x:c r="E11" s="27" t="n">
        <x:v>46276</x:v>
      </x:c>
      <x:c r="F11" s="27" t="n">
        <x:v>46278.62430555555</x:v>
      </x:c>
      <x:c r="G11" s="27" t="str">
        <x:v>2026/09/01 09:00
～
2026/09/13 23:59</x:v>
      </x:c>
      <x:c r="H11" s="27" t="str">
        <x:v>不可</x:v>
      </x:c>
      <x:c r="I11" s="27" t="str">
        <x:v>個人</x:v>
      </x:c>
      <x:c r="J11" s="27" t="str"/>
      <x:c r="K11" s="27" t="str">
        <x:v>https://portal.example.invalid/course/report/SIM-0010</x:v>
      </x:c>
      <x:c r="L11" s="27" t="n">
        <x:v>46273.958333333336</x:v>
      </x:c>
      <x:c r="M11" s="27" t="n">
        <x:v>46274</x:v>
      </x:c>
      <x:c r="N11" s="27" t="str">
        <x:v>{"source":"inCampus","type":"assignment","title":"仮想提出課題-010","body":"架空の課題本文です。実在の授業・人物・提出先を含みません。","startAt":"2026/09/01 09:00","dueAt":"2026/09/13 23:59","courseName":"仮想心理演習","updateText":"・課題（仮想提出課題-010）が追加されました。","updateAction":"add","updateAt":"2026/09/01 09:00","pageUrl":"https://portal.example.invalid/course/report/SIM-0010","assignmentKey":"SIM-ASSIGN-0010"}</x:v>
      </x:c>
      <x:c r="O11" s="27" t="str">
        <x:v>未確認</x:v>
      </x:c>
      <x:c r="P11" s="27" t="str"/>
      <x:c r="Q11" s="27" t="str">
        <x:v>SIM-ASSIGN-0010</x:v>
      </x:c>
      <x:c r="R11" s="36" t="n">
        <x:f>'テスト設定'!$B$2</x:f>
        <x:v>46298</x:v>
      </x:c>
      <x:c r="S11" s="36" t="n">
        <x:f>IF(F11="","",IF(ISNUMBER(F11),F11+'テスト設定'!$B$6,F11))</x:f>
        <x:v>46301.62430555555</x:v>
      </x:c>
      <x:c r="T11" s="36" t="n">
        <x:f>IF(S11="","",IF(ISNUMBER(S11),IF(MOD(S11,1)=0,S11-1+TIME(23,59,0),S11),S11))</x:f>
        <x:v>46301.62430555555</x:v>
      </x:c>
    </x:row>
    <x:row r="12" ht="34" customHeight="1">
      <x:c r="A12" s="27" t="str">
        <x:v>inCampus</x:v>
      </x:c>
      <x:c r="B12" s="27" t="str">
        <x:v>assignment</x:v>
      </x:c>
      <x:c r="C12" s="27" t="str">
        <x:v>仮想提出課題-011</x:v>
      </x:c>
      <x:c r="D12" s="28" t="str">
        <x:v>架空の課題本文です。実在の授業・人物・提出先を含みません。</x:v>
      </x:c>
      <x:c r="E12" s="27" t="n">
        <x:v>46277</x:v>
      </x:c>
      <x:c r="F12" s="27" t="n">
        <x:v>46279.62430555555</x:v>
      </x:c>
      <x:c r="G12" s="27" t="str">
        <x:v>2026/09/01 09:00
～
2026/09/14 23:59</x:v>
      </x:c>
      <x:c r="H12" s="27" t="str">
        <x:v>不可</x:v>
      </x:c>
      <x:c r="I12" s="27" t="str">
        <x:v>個人</x:v>
      </x:c>
      <x:c r="J12" s="27" t="str"/>
      <x:c r="K12" s="27" t="str">
        <x:v>https://portal.example.invalid/course/report/SIM-0011</x:v>
      </x:c>
      <x:c r="L12" s="27" t="n">
        <x:v>46273.958333333336</x:v>
      </x:c>
      <x:c r="M12" s="27" t="n">
        <x:v>46274</x:v>
      </x:c>
      <x:c r="N12" s="27" t="str">
        <x:v>{"source":"inCampus","type":"assignment","title":"仮想提出課題-011","body":"架空の課題本文です。実在の授業・人物・提出先を含みません。","startAt":"2026/09/01 09:00","dueAt":"2026/09/14 23:59","courseName":"サンプル情報設計","updateText":"・課題（仮想提出課題-011）が追加されました。","updateAction":"add","updateAt":"2026/09/01 09:00","pageUrl":"https://portal.example.invalid/course/report/SIM-0011","assignmentKey":"SIM-ASSIGN-0011"}</x:v>
      </x:c>
      <x:c r="O12" s="27" t="str">
        <x:v>未確認</x:v>
      </x:c>
      <x:c r="P12" s="27" t="str"/>
      <x:c r="Q12" s="27" t="str">
        <x:v>SIM-ASSIGN-0011</x:v>
      </x:c>
      <x:c r="R12" s="36" t="n">
        <x:f>'テスト設定'!$B$2</x:f>
        <x:v>46298</x:v>
      </x:c>
      <x:c r="S12" s="36" t="n">
        <x:f>IF(F12="","",IF(ISNUMBER(F12),F12+'テスト設定'!$B$6,F12))</x:f>
        <x:v>46302.62430555555</x:v>
      </x:c>
      <x:c r="T12" s="36" t="n">
        <x:f>IF(S12="","",IF(ISNUMBER(S12),IF(MOD(S12,1)=0,S12-1+TIME(23,59,0),S12),S12))</x:f>
        <x:v>46302.62430555555</x:v>
      </x:c>
    </x:row>
    <x:row r="13" ht="34" customHeight="1">
      <x:c r="A13" s="27" t="str">
        <x:v>inCampus</x:v>
      </x:c>
      <x:c r="B13" s="27" t="str">
        <x:v>assignment</x:v>
      </x:c>
      <x:c r="C13" s="27" t="str">
        <x:v>仮想提出課題-012</x:v>
      </x:c>
      <x:c r="D13" s="28" t="str">
        <x:v>架空の課題本文です。実在の授業・人物・提出先を含みません。</x:v>
      </x:c>
      <x:c r="E13" s="27" t="n">
        <x:v>46278</x:v>
      </x:c>
      <x:c r="F13" s="27" t="n">
        <x:v>46280.62430555555</x:v>
      </x:c>
      <x:c r="G13" s="27" t="str">
        <x:v>2026/09/01 09:00
～
2026/09/15 23:59</x:v>
      </x:c>
      <x:c r="H13" s="27" t="str">
        <x:v>不可</x:v>
      </x:c>
      <x:c r="I13" s="27" t="str">
        <x:v>個人</x:v>
      </x:c>
      <x:c r="J13" s="27" t="str"/>
      <x:c r="K13" s="27" t="str">
        <x:v>https://portal.example.invalid/course/report/SIM-0012</x:v>
      </x:c>
      <x:c r="L13" s="27" t="n">
        <x:v>46273.958333333336</x:v>
      </x:c>
      <x:c r="M13" s="27" t="n">
        <x:v>46274</x:v>
      </x:c>
      <x:c r="N13" s="27" t="str">
        <x:v>{"source":"inCampus","type":"assignment","title":"仮想提出課題-012","body":"架空の課題本文です。実在の授業・人物・提出先を含みません。","startAt":"2026/09/01 09:00","dueAt":"2026/09/15 23:59","courseName":"架空データ解析","updateText":"・課題（仮想提出課題-012）が追加されました。","updateAction":"add","updateAt":"2026/09/01 09:00","pageUrl":"https://portal.example.invalid/course/report/SIM-0012","assignmentKey":"SIM-ASSIGN-0012"}</x:v>
      </x:c>
      <x:c r="O13" s="27" t="str">
        <x:v>完了</x:v>
      </x:c>
      <x:c r="P13" s="27" t="n">
        <x:v>46273.375</x:v>
      </x:c>
      <x:c r="Q13" s="27" t="str">
        <x:v>SIM-ASSIGN-0012</x:v>
      </x:c>
      <x:c r="R13" s="36" t="n">
        <x:f>'テスト設定'!$B$2</x:f>
        <x:v>46298</x:v>
      </x:c>
      <x:c r="S13" s="36" t="n">
        <x:f>IF(F13="","",IF(ISNUMBER(F13),F13+'テスト設定'!$B$6,F13))</x:f>
        <x:v>46303.62430555555</x:v>
      </x:c>
      <x:c r="T13" s="36" t="n">
        <x:f>IF(S13="","",IF(ISNUMBER(S13),IF(MOD(S13,1)=0,S13-1+TIME(23,59,0),S13),S13))</x:f>
        <x:v>46303.62430555555</x:v>
      </x:c>
    </x:row>
    <x:row r="14" ht="34" customHeight="1">
      <x:c r="A14" s="27" t="str">
        <x:v>inCampus</x:v>
      </x:c>
      <x:c r="B14" s="27" t="str">
        <x:v>assignment</x:v>
      </x:c>
      <x:c r="C14" s="27" t="str">
        <x:v>仮想提出課題-013</x:v>
      </x:c>
      <x:c r="D14" s="28" t="str">
        <x:v>架空の課題本文です。実在の授業・人物・提出先を含みません。</x:v>
      </x:c>
      <x:c r="E14" s="27" t="n">
        <x:v>46279</x:v>
      </x:c>
      <x:c r="F14" s="27" t="n">
        <x:v>46281.62430555555</x:v>
      </x:c>
      <x:c r="G14" s="27" t="str">
        <x:v>2026/09/01 09:00
～
2026/09/16 23:59</x:v>
      </x:c>
      <x:c r="H14" s="27" t="str">
        <x:v>不可</x:v>
      </x:c>
      <x:c r="I14" s="27" t="str">
        <x:v>個人</x:v>
      </x:c>
      <x:c r="J14" s="27" t="str"/>
      <x:c r="K14" s="27" t="str">
        <x:v>https://portal.example.invalid/course/report/SIM-0013</x:v>
      </x:c>
      <x:c r="L14" s="27" t="n">
        <x:v>46273.958333333336</x:v>
      </x:c>
      <x:c r="M14" s="27" t="n">
        <x:v>46274</x:v>
      </x:c>
      <x:c r="N14" s="27" t="str">
        <x:v>{"source":"inCampus","type":"assignment","title":"仮想提出課題-013","body":"架空の課題本文です。実在の授業・人物・提出先を含みません。","startAt":"2026/09/01 09:00","dueAt":"2026/09/16 23:59","courseName":"仮想心理演習","updateText":"・課題（仮想提出課題-013）が追加されました。","updateAction":"add","updateAt":"2026/09/01 09:00","pageUrl":"https://portal.example.invalid/course/report/SIM-0013","assignmentKey":"SIM-ASSIGN-0013"}</x:v>
      </x:c>
      <x:c r="O14" s="27" t="str">
        <x:v>未確認</x:v>
      </x:c>
      <x:c r="P14" s="27" t="str"/>
      <x:c r="Q14" s="27" t="str">
        <x:v>SIM-ASSIGN-0013</x:v>
      </x:c>
      <x:c r="R14" s="36" t="n">
        <x:f>'テスト設定'!$B$2</x:f>
        <x:v>46298</x:v>
      </x:c>
      <x:c r="S14" s="36" t="n">
        <x:f>IF(F14="","",IF(ISNUMBER(F14),F14+'テスト設定'!$B$6,F14))</x:f>
        <x:v>46304.62430555555</x:v>
      </x:c>
      <x:c r="T14" s="36" t="n">
        <x:f>IF(S14="","",IF(ISNUMBER(S14),IF(MOD(S14,1)=0,S14-1+TIME(23,59,0),S14),S14))</x:f>
        <x:v>46304.62430555555</x:v>
      </x:c>
    </x:row>
    <x:row r="15" ht="34" customHeight="1">
      <x:c r="A15" s="27" t="str">
        <x:v>inCampus</x:v>
      </x:c>
      <x:c r="B15" s="27" t="str">
        <x:v>assignment</x:v>
      </x:c>
      <x:c r="C15" s="27" t="str">
        <x:v>仮想提出課題-014</x:v>
      </x:c>
      <x:c r="D15" s="28" t="str">
        <x:v>架空の課題本文です。実在の授業・人物・提出先を含みません。</x:v>
      </x:c>
      <x:c r="E15" s="27" t="n">
        <x:v>46280</x:v>
      </x:c>
      <x:c r="F15" s="27" t="n">
        <x:v>46282.62430555555</x:v>
      </x:c>
      <x:c r="G15" s="27" t="str">
        <x:v>2026/09/01 09:00
～
2026/09/17 23:59</x:v>
      </x:c>
      <x:c r="H15" s="27" t="str">
        <x:v>不可</x:v>
      </x:c>
      <x:c r="I15" s="27" t="str">
        <x:v>個人</x:v>
      </x:c>
      <x:c r="J15" s="27" t="str"/>
      <x:c r="K15" s="27" t="str">
        <x:v>https://portal.example.invalid/course/report/SIM-0014</x:v>
      </x:c>
      <x:c r="L15" s="27" t="n">
        <x:v>46273.958333333336</x:v>
      </x:c>
      <x:c r="M15" s="27" t="n">
        <x:v>46274</x:v>
      </x:c>
      <x:c r="N15" s="27" t="str">
        <x:v>{"source":"inCampus","type":"assignment","title":"仮想提出課題-014","body":"架空の課題本文です。実在の授業・人物・提出先を含みません。","startAt":"2026/09/01 09:00","dueAt":"2026/09/17 23:59","courseName":"サンプル情報設計","updateText":"・課題（仮想提出課題-014）が追加されました。","updateAction":"add","updateAt":"2026/09/01 09:00","pageUrl":"https://portal.example.invalid/course/report/SIM-0014","assignmentKey":"SIM-ASSIGN-0014"}</x:v>
      </x:c>
      <x:c r="O15" s="27" t="str">
        <x:v>未確認</x:v>
      </x:c>
      <x:c r="P15" s="27" t="str"/>
      <x:c r="Q15" s="27" t="str">
        <x:v>SIM-ASSIGN-0014</x:v>
      </x:c>
      <x:c r="R15" s="36" t="n">
        <x:f>'テスト設定'!$B$2</x:f>
        <x:v>46298</x:v>
      </x:c>
      <x:c r="S15" s="36" t="n">
        <x:f>IF(F15="","",IF(ISNUMBER(F15),F15+'テスト設定'!$B$6,F15))</x:f>
        <x:v>46305.62430555555</x:v>
      </x:c>
      <x:c r="T15" s="36" t="n">
        <x:f>IF(S15="","",IF(ISNUMBER(S15),IF(MOD(S15,1)=0,S15-1+TIME(23,59,0),S15),S15))</x:f>
        <x:v>46305.62430555555</x:v>
      </x:c>
    </x:row>
    <x:row r="16" ht="34" customHeight="1">
      <x:c r="A16" s="27" t="str">
        <x:v>inCampus</x:v>
      </x:c>
      <x:c r="B16" s="27" t="str">
        <x:v>assignment</x:v>
      </x:c>
      <x:c r="C16" s="27" t="str">
        <x:v>仮想提出課題-015</x:v>
      </x:c>
      <x:c r="D16" s="28" t="str">
        <x:v>架空の課題本文です。実在の授業・人物・提出先を含みません。</x:v>
      </x:c>
      <x:c r="E16" s="27" t="n">
        <x:v>46281</x:v>
      </x:c>
      <x:c r="F16" s="27" t="n">
        <x:v>46283.62430555555</x:v>
      </x:c>
      <x:c r="G16" s="27" t="str">
        <x:v>2026/09/01 09:00
～
2026/09/18 23:59</x:v>
      </x:c>
      <x:c r="H16" s="27" t="str">
        <x:v>不可</x:v>
      </x:c>
      <x:c r="I16" s="27" t="str">
        <x:v>個人</x:v>
      </x:c>
      <x:c r="J16" s="27" t="str"/>
      <x:c r="K16" s="27" t="str">
        <x:v>https://portal.example.invalid/course/report/SIM-0015</x:v>
      </x:c>
      <x:c r="L16" s="27" t="n">
        <x:v>46273.958333333336</x:v>
      </x:c>
      <x:c r="M16" s="27" t="n">
        <x:v>46274</x:v>
      </x:c>
      <x:c r="N16" s="27" t="str">
        <x:v>{"source":"inCampus","type":"assignment","title":"仮想提出課題-015","body":"架空の課題本文です。実在の授業・人物・提出先を含みません。","startAt":"2026/09/01 09:00","dueAt":"2026/09/18 23:59","courseName":"架空データ解析","updateText":"・課題（仮想提出課題-015）が追加されました。","updateAction":"add","updateAt":"2026/09/01 09:00","pageUrl":"https://portal.example.invalid/course/report/SIM-0015","assignmentKey":"SIM-ASSIGN-0015"}</x:v>
      </x:c>
      <x:c r="O16" s="27" t="str">
        <x:v>未確認</x:v>
      </x:c>
      <x:c r="P16" s="27" t="str"/>
      <x:c r="Q16" s="27" t="str">
        <x:v>SIM-ASSIGN-0015</x:v>
      </x:c>
      <x:c r="R16" s="36" t="n">
        <x:f>'テスト設定'!$B$2</x:f>
        <x:v>46298</x:v>
      </x:c>
      <x:c r="S16" s="36" t="n">
        <x:f>IF(F16="","",IF(ISNUMBER(F16),F16+'テスト設定'!$B$6,F16))</x:f>
        <x:v>46306.62430555555</x:v>
      </x:c>
      <x:c r="T16" s="36" t="n">
        <x:f>IF(S16="","",IF(ISNUMBER(S16),IF(MOD(S16,1)=0,S16-1+TIME(23,59,0),S16),S16))</x:f>
        <x:v>46306.62430555555</x:v>
      </x:c>
    </x:row>
    <x:row r="17" ht="34" customHeight="1">
      <x:c r="A17" s="27" t="str">
        <x:v>inCampus</x:v>
      </x:c>
      <x:c r="B17" s="27" t="str">
        <x:v>assignment</x:v>
      </x:c>
      <x:c r="C17" s="27" t="str">
        <x:v>仮想提出課題-016</x:v>
      </x:c>
      <x:c r="D17" s="28" t="str">
        <x:v>架空の課題本文です。実在の授業・人物・提出先を含みません。</x:v>
      </x:c>
      <x:c r="E17" s="27" t="n">
        <x:v>46282</x:v>
      </x:c>
      <x:c r="F17" s="27" t="n">
        <x:v>46284.62430555555</x:v>
      </x:c>
      <x:c r="G17" s="27" t="str">
        <x:v>2026/09/01 09:00
～
2026/09/19 23:59</x:v>
      </x:c>
      <x:c r="H17" s="27" t="str">
        <x:v>不可</x:v>
      </x:c>
      <x:c r="I17" s="27" t="str">
        <x:v>個人</x:v>
      </x:c>
      <x:c r="J17" s="27" t="str"/>
      <x:c r="K17" s="27" t="str">
        <x:v>https://portal.example.invalid/course/report/SIM-0016</x:v>
      </x:c>
      <x:c r="L17" s="27" t="n">
        <x:v>46273.958333333336</x:v>
      </x:c>
      <x:c r="M17" s="27" t="n">
        <x:v>46274</x:v>
      </x:c>
      <x:c r="N17" s="27" t="str">
        <x:v>{"source":"inCampus","type":"assignment","title":"仮想提出課題-016","body":"架空の課題本文です。実在の授業・人物・提出先を含みません。","startAt":"2026/09/01 09:00","dueAt":"2026/09/19 23:59","courseName":"仮想心理演習","updateText":"・課題（仮想提出課題-016）が追加されました。","updateAction":"add","updateAt":"2026/09/01 09:00","pageUrl":"https://portal.example.invalid/course/report/SIM-0016","assignmentKey":"SIM-ASSIGN-0016"}</x:v>
      </x:c>
      <x:c r="O17" s="27" t="str">
        <x:v>完了</x:v>
      </x:c>
      <x:c r="P17" s="27" t="n">
        <x:v>46273.375</x:v>
      </x:c>
      <x:c r="Q17" s="27" t="str">
        <x:v>SIM-ASSIGN-0016</x:v>
      </x:c>
      <x:c r="R17" s="36" t="n">
        <x:f>'テスト設定'!$B$2</x:f>
        <x:v>46298</x:v>
      </x:c>
      <x:c r="S17" s="36" t="n">
        <x:f>IF(F17="","",IF(ISNUMBER(F17),F17+'テスト設定'!$B$6,F17))</x:f>
        <x:v>46307.62430555555</x:v>
      </x:c>
      <x:c r="T17" s="36" t="n">
        <x:f>IF(S17="","",IF(ISNUMBER(S17),IF(MOD(S17,1)=0,S17-1+TIME(23,59,0),S17),S17))</x:f>
        <x:v>46307.62430555555</x:v>
      </x:c>
    </x:row>
    <x:row r="18" ht="34" customHeight="1">
      <x:c r="A18" s="27" t="str">
        <x:v>inCampus</x:v>
      </x:c>
      <x:c r="B18" s="27" t="str">
        <x:v>assignment</x:v>
      </x:c>
      <x:c r="C18" s="27" t="str">
        <x:v>仮想提出課題-017</x:v>
      </x:c>
      <x:c r="D18" s="28" t="str">
        <x:v>架空の課題本文です。実在の授業・人物・提出先を含みません。</x:v>
      </x:c>
      <x:c r="E18" s="27" t="n">
        <x:v>46283</x:v>
      </x:c>
      <x:c r="F18" s="27" t="n">
        <x:v>46285.62430555555</x:v>
      </x:c>
      <x:c r="G18" s="27" t="str">
        <x:v>2026/09/01 09:00
～
2026/09/20 23:59</x:v>
      </x:c>
      <x:c r="H18" s="27" t="str">
        <x:v>不可</x:v>
      </x:c>
      <x:c r="I18" s="27" t="str">
        <x:v>個人</x:v>
      </x:c>
      <x:c r="J18" s="27" t="str"/>
      <x:c r="K18" s="27" t="str">
        <x:v>https://portal.example.invalid/course/report/SIM-0017</x:v>
      </x:c>
      <x:c r="L18" s="27" t="n">
        <x:v>46273.958333333336</x:v>
      </x:c>
      <x:c r="M18" s="27" t="n">
        <x:v>46274</x:v>
      </x:c>
      <x:c r="N18" s="27" t="str">
        <x:v>{"source":"inCampus","type":"assignment","title":"仮想提出課題-017","body":"架空の課題本文です。実在の授業・人物・提出先を含みません。","startAt":"2026/09/01 09:00","dueAt":"2026/09/20 23:59","courseName":"サンプル情報設計","updateText":"・課題（仮想提出課題-017）が追加されました。","updateAction":"add","updateAt":"2026/09/01 09:00","pageUrl":"https://portal.example.invalid/course/report/SIM-0017","assignmentKey":"SIM-ASSIGN-0017"}</x:v>
      </x:c>
      <x:c r="O18" s="27" t="str">
        <x:v>未確認</x:v>
      </x:c>
      <x:c r="P18" s="27" t="str"/>
      <x:c r="Q18" s="27" t="str">
        <x:v>SIM-ASSIGN-0017</x:v>
      </x:c>
      <x:c r="R18" s="36" t="n">
        <x:f>'テスト設定'!$B$2</x:f>
        <x:v>46298</x:v>
      </x:c>
      <x:c r="S18" s="36" t="n">
        <x:f>IF(F18="","",IF(ISNUMBER(F18),F18+'テスト設定'!$B$6,F18))</x:f>
        <x:v>46308.62430555555</x:v>
      </x:c>
      <x:c r="T18" s="36" t="n">
        <x:f>IF(S18="","",IF(ISNUMBER(S18),IF(MOD(S18,1)=0,S18-1+TIME(23,59,0),S18),S18))</x:f>
        <x:v>46308.62430555555</x:v>
      </x:c>
    </x:row>
    <x:row r="19" ht="34" customHeight="1">
      <x:c r="A19" s="27" t="str">
        <x:v>inCampus</x:v>
      </x:c>
      <x:c r="B19" s="27" t="str">
        <x:v>assignment</x:v>
      </x:c>
      <x:c r="C19" s="27" t="str">
        <x:v>仮想提出課題-018</x:v>
      </x:c>
      <x:c r="D19" s="28" t="str">
        <x:v>架空の課題本文です。実在の授業・人物・提出先を含みません。</x:v>
      </x:c>
      <x:c r="E19" s="27" t="n">
        <x:v>46284</x:v>
      </x:c>
      <x:c r="F19" s="27" t="n">
        <x:v>46268.62430555555</x:v>
      </x:c>
      <x:c r="G19" s="27" t="str">
        <x:v>2026/09/01 09:00
～
2026/09/03 23:59</x:v>
      </x:c>
      <x:c r="H19" s="27" t="str">
        <x:v>不可</x:v>
      </x:c>
      <x:c r="I19" s="27" t="str">
        <x:v>個人</x:v>
      </x:c>
      <x:c r="J19" s="27" t="str"/>
      <x:c r="K19" s="27" t="str">
        <x:v>https://portal.example.invalid/course/report/SIM-0018</x:v>
      </x:c>
      <x:c r="L19" s="27" t="n">
        <x:v>46273.958333333336</x:v>
      </x:c>
      <x:c r="M19" s="27" t="n">
        <x:v>46274</x:v>
      </x:c>
      <x:c r="N19" s="27" t="str">
        <x:v>{"source":"inCampus","type":"assignment","title":"仮想提出課題-018","body":"架空の課題本文です。実在の授業・人物・提出先を含みません。","startAt":"2026/09/01 09:00","dueAt":"2026/09/03 23:59","courseName":"架空データ解析","updateText":"・課題（仮想提出課題-018）が追加されました。","updateAction":"add","updateAt":"2026/09/01 09:00","pageUrl":"https://portal.example.invalid/course/report/SIM-0018","assignmentKey":"SIM-ASSIGN-0018"}</x:v>
      </x:c>
      <x:c r="O19" s="27" t="str">
        <x:v>未確認</x:v>
      </x:c>
      <x:c r="P19" s="27" t="str"/>
      <x:c r="Q19" s="27" t="str">
        <x:v>SIM-ASSIGN-0018</x:v>
      </x:c>
      <x:c r="R19" s="36" t="n">
        <x:f>'テスト設定'!$B$2</x:f>
        <x:v>46298</x:v>
      </x:c>
      <x:c r="S19" s="36" t="n">
        <x:f>IF(F19="","",IF(ISNUMBER(F19),F19+'テスト設定'!$B$6,F19))</x:f>
        <x:v>46291.62430555555</x:v>
      </x:c>
      <x:c r="T19" s="36" t="n">
        <x:f>IF(S19="","",IF(ISNUMBER(S19),IF(MOD(S19,1)=0,S19-1+TIME(23,59,0),S19),S19))</x:f>
        <x:v>46291.62430555555</x:v>
      </x:c>
    </x:row>
    <x:row r="20" ht="34" customHeight="1">
      <x:c r="A20" s="27" t="str">
        <x:v>inCampus</x:v>
      </x:c>
      <x:c r="B20" s="27" t="str">
        <x:v>assignment</x:v>
      </x:c>
      <x:c r="C20" s="27" t="str">
        <x:v>仮想提出課題-019</x:v>
      </x:c>
      <x:c r="D20" s="28" t="str">
        <x:v>架空の課題本文です。実在の授業・人物・提出先を含みません。</x:v>
      </x:c>
      <x:c r="E20" s="27" t="n">
        <x:v>46285</x:v>
      </x:c>
      <x:c r="F20" s="27" t="n">
        <x:v>46269.62430555555</x:v>
      </x:c>
      <x:c r="G20" s="27" t="str">
        <x:v>2026/09/01 09:00
～
2026/09/04 23:59</x:v>
      </x:c>
      <x:c r="H20" s="27" t="str">
        <x:v>不可</x:v>
      </x:c>
      <x:c r="I20" s="27" t="str">
        <x:v>個人</x:v>
      </x:c>
      <x:c r="J20" s="27" t="str"/>
      <x:c r="K20" s="27" t="str">
        <x:v>https://portal.example.invalid/course/report/SIM-0019</x:v>
      </x:c>
      <x:c r="L20" s="27" t="n">
        <x:v>46273.958333333336</x:v>
      </x:c>
      <x:c r="M20" s="27" t="n">
        <x:v>46274</x:v>
      </x:c>
      <x:c r="N20" s="27" t="str">
        <x:v>{"source":"inCampus","type":"assignment","title":"仮想提出課題-019","body":"架空の課題本文です。実在の授業・人物・提出先を含みません。","startAt":"2026/09/01 09:00","dueAt":"2026/09/04 23:59","courseName":"仮想心理演習","updateText":"・課題（仮想提出課題-019）が追加されました。","updateAction":"add","updateAt":"2026/09/01 09:00","pageUrl":"https://portal.example.invalid/course/report/SIM-0019","assignmentKey":"SIM-ASSIGN-0019"}</x:v>
      </x:c>
      <x:c r="O20" s="27" t="str">
        <x:v>未確認</x:v>
      </x:c>
      <x:c r="P20" s="27" t="str"/>
      <x:c r="Q20" s="27" t="str">
        <x:v>SIM-ASSIGN-0019</x:v>
      </x:c>
      <x:c r="R20" s="36" t="n">
        <x:f>'テスト設定'!$B$2</x:f>
        <x:v>46298</x:v>
      </x:c>
      <x:c r="S20" s="36" t="n">
        <x:f>IF(F20="","",IF(ISNUMBER(F20),F20+'テスト設定'!$B$6,F20))</x:f>
        <x:v>46292.62430555555</x:v>
      </x:c>
      <x:c r="T20" s="36" t="n">
        <x:f>IF(S20="","",IF(ISNUMBER(S20),IF(MOD(S20,1)=0,S20-1+TIME(23,59,0),S20),S20))</x:f>
        <x:v>46292.62430555555</x:v>
      </x:c>
    </x:row>
  </x:sheetData>
  <x:pageMargins left="0.7" right="0.7" top="0.75" bottom="0.75" header="0.3" footer="0.3"/>
</x:worksheet>
</file>